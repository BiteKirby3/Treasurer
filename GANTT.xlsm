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cpret\Desktop\LO21\Proyecto\lo21-projet-treasurer\"/>
    </mc:Choice>
  </mc:AlternateContent>
  <xr:revisionPtr revIDLastSave="0" documentId="13_ncr:1_{FB3C5E6C-0FBE-42A0-B8FD-63E4AC0A07B2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WBS" sheetId="1" r:id="rId1"/>
    <sheet name="WBS Diagram" sheetId="3" r:id="rId2"/>
    <sheet name="GANTT Diagram" sheetId="4" r:id="rId3"/>
  </sheets>
  <definedNames>
    <definedName name="display_week">'GANTT Diagram'!$C$4</definedName>
    <definedName name="_xlnm.Print_Titles" localSheetId="2">'GANTT Diagram'!$5:$7</definedName>
    <definedName name="project_end">'GANTT Diagram'!$C$3</definedName>
    <definedName name="project_start">'GANTT Diagram'!$C$2</definedName>
    <definedName name="task_end" localSheetId="2">'GANTT Diagram'!$D1</definedName>
    <definedName name="task_progress" localSheetId="2">'GANTT Diagram'!#REF!</definedName>
    <definedName name="task_start" localSheetId="2">'GANTT Diagram'!$C1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4" l="1"/>
  <c r="F5" i="4" s="1"/>
  <c r="F7" i="4" l="1"/>
  <c r="G6" i="4"/>
  <c r="C7" i="1"/>
  <c r="C9" i="1"/>
  <c r="C10" i="1"/>
  <c r="C11" i="1"/>
  <c r="C15" i="1"/>
  <c r="C16" i="1"/>
  <c r="C17" i="1"/>
  <c r="C18" i="1"/>
  <c r="C19" i="1"/>
  <c r="C20" i="1"/>
  <c r="C21" i="1"/>
  <c r="C22" i="1"/>
  <c r="C13" i="1"/>
  <c r="C12" i="1"/>
  <c r="C8" i="1"/>
  <c r="C14" i="1"/>
  <c r="G7" i="4" l="1"/>
  <c r="H6" i="4"/>
  <c r="B6" i="1"/>
  <c r="I6" i="4" l="1"/>
  <c r="H7" i="4"/>
  <c r="B7" i="1"/>
  <c r="B8" i="1" s="1"/>
  <c r="B9" i="1" s="1"/>
  <c r="B10" i="1" s="1"/>
  <c r="B11" i="1" s="1"/>
  <c r="B12" i="1" s="1"/>
  <c r="C6" i="1"/>
  <c r="J6" i="4" l="1"/>
  <c r="I7" i="4"/>
  <c r="B13" i="1"/>
  <c r="B14" i="1" s="1"/>
  <c r="B15" i="1" s="1"/>
  <c r="K6" i="4" l="1"/>
  <c r="J7" i="4"/>
  <c r="B16" i="1"/>
  <c r="K7" i="4" l="1"/>
  <c r="L6" i="4"/>
  <c r="B17" i="1"/>
  <c r="L7" i="4" l="1"/>
  <c r="M6" i="4"/>
  <c r="B18" i="1"/>
  <c r="B19" i="1" s="1"/>
  <c r="M5" i="4" l="1"/>
  <c r="M7" i="4"/>
  <c r="N6" i="4"/>
  <c r="B20" i="1"/>
  <c r="O6" i="4" l="1"/>
  <c r="N7" i="4"/>
  <c r="B21" i="1"/>
  <c r="O7" i="4" l="1"/>
  <c r="P6" i="4"/>
  <c r="B22" i="1"/>
  <c r="Q6" i="4" l="1"/>
  <c r="P7" i="4"/>
  <c r="Q7" i="4" l="1"/>
  <c r="R6" i="4"/>
  <c r="S6" i="4" l="1"/>
  <c r="R7" i="4"/>
  <c r="S7" i="4" l="1"/>
  <c r="T6" i="4"/>
  <c r="T7" i="4" l="1"/>
  <c r="T5" i="4"/>
  <c r="U6" i="4"/>
  <c r="U7" i="4" l="1"/>
  <c r="V6" i="4"/>
  <c r="W6" i="4" l="1"/>
  <c r="V7" i="4"/>
  <c r="W7" i="4" l="1"/>
  <c r="X6" i="4"/>
  <c r="Y6" i="4" l="1"/>
  <c r="X7" i="4"/>
  <c r="Y7" i="4" l="1"/>
  <c r="Z6" i="4"/>
  <c r="AA6" i="4" l="1"/>
  <c r="Z7" i="4"/>
  <c r="AA7" i="4" l="1"/>
  <c r="AB6" i="4"/>
  <c r="AA5" i="4"/>
  <c r="AB7" i="4" l="1"/>
  <c r="AC6" i="4"/>
  <c r="AC7" i="4" l="1"/>
  <c r="AD6" i="4"/>
  <c r="AE6" i="4" l="1"/>
  <c r="AD7" i="4"/>
  <c r="AE7" i="4" l="1"/>
  <c r="AF6" i="4"/>
  <c r="AF7" i="4" l="1"/>
  <c r="AG6" i="4"/>
  <c r="AG7" i="4" l="1"/>
  <c r="AH6" i="4"/>
  <c r="AI6" i="4" l="1"/>
  <c r="AH7" i="4"/>
  <c r="AH5" i="4"/>
  <c r="AI7" i="4" l="1"/>
  <c r="AJ6" i="4"/>
  <c r="AJ7" i="4" l="1"/>
  <c r="AK6" i="4"/>
  <c r="AL6" i="4" l="1"/>
  <c r="AK7" i="4"/>
  <c r="AM6" i="4" l="1"/>
  <c r="AL7" i="4"/>
  <c r="AM7" i="4" l="1"/>
  <c r="AN6" i="4"/>
  <c r="AN7" i="4" s="1"/>
</calcChain>
</file>

<file path=xl/sharedStrings.xml><?xml version="1.0" encoding="utf-8"?>
<sst xmlns="http://schemas.openxmlformats.org/spreadsheetml/2006/main" count="93" uniqueCount="61">
  <si>
    <t>Project APMS</t>
  </si>
  <si>
    <t>TASK ID</t>
  </si>
  <si>
    <t>TASK DESCRIPTION</t>
  </si>
  <si>
    <t>DEPENDENT UPON</t>
  </si>
  <si>
    <t>TASK RESSOURCES</t>
  </si>
  <si>
    <t>TASK STATUS</t>
  </si>
  <si>
    <t>ESTIMATED COST</t>
  </si>
  <si>
    <t>BEGING DATE</t>
  </si>
  <si>
    <t>ESTIMATED DATE OF COMPLETION</t>
  </si>
  <si>
    <t>ACTUAL DATE OF COMPLETION</t>
  </si>
  <si>
    <t>ADDITIONAL INFO</t>
  </si>
  <si>
    <t>LEVEL</t>
  </si>
  <si>
    <t>Diana</t>
  </si>
  <si>
    <t>Sophia</t>
  </si>
  <si>
    <t>Lucia</t>
  </si>
  <si>
    <t>END</t>
  </si>
  <si>
    <t>START</t>
  </si>
  <si>
    <t>ASSIGNED TO</t>
  </si>
  <si>
    <t>TASK</t>
  </si>
  <si>
    <t>Display Week:</t>
  </si>
  <si>
    <t>Project end:</t>
  </si>
  <si>
    <t>Project start:</t>
  </si>
  <si>
    <t>Projet LO21</t>
  </si>
  <si>
    <t>Brenda</t>
  </si>
  <si>
    <r>
      <t xml:space="preserve">Phase 1 </t>
    </r>
    <r>
      <rPr>
        <b/>
        <sz val="11"/>
        <color theme="1"/>
        <rFont val="Calibri"/>
        <family val="2"/>
        <scheme val="minor"/>
      </rPr>
      <t>CONCEPTION</t>
    </r>
  </si>
  <si>
    <t>Task 1.1 Maquette UX Design</t>
  </si>
  <si>
    <t>Task 1.2 UI Page de connexion</t>
  </si>
  <si>
    <t>Task 1.3 UI Page de comptes</t>
  </si>
  <si>
    <t>Task 1.4 UI Page d'un type de compte</t>
  </si>
  <si>
    <t>Task 1.5 UI Modal ajout d'un compte</t>
  </si>
  <si>
    <t>Task 1.6 UI Page de transactions</t>
  </si>
  <si>
    <t>Task 1.7 UI du modal d'ajout des transactions</t>
  </si>
  <si>
    <t>Task 1.8 UI Page d'un rapport</t>
  </si>
  <si>
    <t>Task 1.9 UI Clôture des comptes</t>
  </si>
  <si>
    <t>Task 1.10 UI Page de rapports</t>
  </si>
  <si>
    <t>Task 1.11 UI Modal de rapprochement</t>
  </si>
  <si>
    <t>Task 2.1 UML</t>
  </si>
  <si>
    <t>Task 2.2 Arborescence d'un type de compte</t>
  </si>
  <si>
    <t>Lucas</t>
  </si>
  <si>
    <t>Mathilde</t>
  </si>
  <si>
    <t>Sihuan</t>
  </si>
  <si>
    <t>Task 3.1 Connexion à la base de donnée</t>
  </si>
  <si>
    <t>Task 3.2 Ajout d'un compte</t>
  </si>
  <si>
    <t>Task 3.3 Réalisation d'ajout des transactions</t>
  </si>
  <si>
    <t>Task 3.4 Réalisation de l'affichage de transactions</t>
  </si>
  <si>
    <t>Task 3.5 Editer transaction d'un compte</t>
  </si>
  <si>
    <t>Task 3.6 Tableau des trasactions d'un compte</t>
  </si>
  <si>
    <t>Task 3.7 Réalisation d'un compte de résultat</t>
  </si>
  <si>
    <t>Task 3.8 Récuperation des soldes des comptes</t>
  </si>
  <si>
    <t>Task 3.9 Calcul des résultats des rapports</t>
  </si>
  <si>
    <t>Task 3.10 Réalisation d'un bilan</t>
  </si>
  <si>
    <t>Task 3.11 Rapprochement</t>
  </si>
  <si>
    <t>Task 3.12 Clôture des comptes</t>
  </si>
  <si>
    <r>
      <t xml:space="preserve">Phase 2 </t>
    </r>
    <r>
      <rPr>
        <b/>
        <sz val="11"/>
        <color theme="1"/>
        <rFont val="Calibri"/>
        <family val="2"/>
        <scheme val="minor"/>
      </rPr>
      <t>STRUCTURATION</t>
    </r>
  </si>
  <si>
    <r>
      <t xml:space="preserve">Phase 3 </t>
    </r>
    <r>
      <rPr>
        <b/>
        <sz val="11"/>
        <color theme="1"/>
        <rFont val="Calibri"/>
        <family val="2"/>
        <scheme val="minor"/>
      </rPr>
      <t>REALISATION</t>
    </r>
  </si>
  <si>
    <r>
      <t xml:space="preserve">Phase 4 </t>
    </r>
    <r>
      <rPr>
        <b/>
        <sz val="11"/>
        <color theme="1"/>
        <rFont val="Calibri"/>
        <family val="2"/>
        <scheme val="minor"/>
      </rPr>
      <t>DOCUMENTATION</t>
    </r>
  </si>
  <si>
    <r>
      <t xml:space="preserve">Phase 5 </t>
    </r>
    <r>
      <rPr>
        <b/>
        <sz val="11"/>
        <color theme="1"/>
        <rFont val="Calibri"/>
        <family val="2"/>
        <scheme val="minor"/>
      </rPr>
      <t>VIDEO</t>
    </r>
  </si>
  <si>
    <t>Task 4.1 Documentation Doxygen</t>
  </si>
  <si>
    <t>Task 4.2 Rapport</t>
  </si>
  <si>
    <t>Task 5.1 Vidéo de présentation</t>
  </si>
  <si>
    <t>Task 3.13 Sauvegarder le contexte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</si>
</sst>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d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48118533890809E-2"/>
      </top>
      <bottom style="thin">
        <color theme="2" tint="-9.9917600024414813E-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theme="3" tint="0.39991454817346722"/>
      </right>
      <top/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1454817346722"/>
      </right>
      <top style="thin">
        <color theme="3" tint="0.39991454817346722"/>
      </top>
      <bottom/>
      <diagonal/>
    </border>
    <border>
      <left/>
      <right/>
      <top style="thin">
        <color theme="3" tint="0.39991454817346722"/>
      </top>
      <bottom/>
      <diagonal/>
    </border>
    <border>
      <left style="thin">
        <color theme="3" tint="0.39988402966399123"/>
      </left>
      <right/>
      <top style="thin">
        <color theme="3" tint="0.39991454817346722"/>
      </top>
      <bottom/>
      <diagonal/>
    </border>
    <border>
      <left style="thin">
        <color theme="3" tint="0.39994506668294322"/>
      </left>
      <right/>
      <top style="thin">
        <color theme="3" tint="0.399914548173467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4506668294322"/>
      </top>
      <bottom style="thin">
        <color theme="3" tint="0.39991454817346722"/>
      </bottom>
      <diagonal/>
    </border>
    <border>
      <left/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 indent="1"/>
    </xf>
    <xf numFmtId="164" fontId="0" fillId="0" borderId="1" xfId="0" applyNumberFormat="1" applyBorder="1"/>
    <xf numFmtId="9" fontId="0" fillId="0" borderId="1" xfId="1" applyFont="1" applyBorder="1"/>
    <xf numFmtId="0" fontId="0" fillId="0" borderId="5" xfId="0" applyBorder="1" applyAlignment="1">
      <alignment horizontal="left" indent="1"/>
    </xf>
    <xf numFmtId="0" fontId="0" fillId="0" borderId="5" xfId="0" applyBorder="1"/>
    <xf numFmtId="9" fontId="0" fillId="0" borderId="5" xfId="1" applyFont="1" applyBorder="1"/>
    <xf numFmtId="164" fontId="0" fillId="0" borderId="5" xfId="0" applyNumberFormat="1" applyBorder="1"/>
    <xf numFmtId="0" fontId="0" fillId="3" borderId="0" xfId="0" applyFill="1" applyBorder="1"/>
    <xf numFmtId="0" fontId="2" fillId="0" borderId="6" xfId="0" applyNumberFormat="1" applyFont="1" applyBorder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horizontal="left" indent="1"/>
    </xf>
    <xf numFmtId="14" fontId="0" fillId="0" borderId="6" xfId="0" applyNumberFormat="1" applyBorder="1"/>
    <xf numFmtId="0" fontId="2" fillId="4" borderId="0" xfId="0" applyNumberFormat="1" applyFont="1" applyFill="1" applyAlignment="1">
      <alignment horizontal="center" vertical="center" shrinkToFit="1"/>
    </xf>
    <xf numFmtId="0" fontId="2" fillId="4" borderId="0" xfId="0" applyFont="1" applyFill="1"/>
    <xf numFmtId="0" fontId="5" fillId="4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center" indent="1"/>
    </xf>
    <xf numFmtId="165" fontId="0" fillId="5" borderId="7" xfId="0" applyNumberFormat="1" applyFill="1" applyBorder="1" applyAlignment="1">
      <alignment horizontal="center" vertical="center" shrinkToFit="1"/>
    </xf>
    <xf numFmtId="165" fontId="0" fillId="5" borderId="0" xfId="0" applyNumberFormat="1" applyFill="1" applyBorder="1" applyAlignment="1">
      <alignment horizontal="center" vertical="center" shrinkToFit="1"/>
    </xf>
    <xf numFmtId="165" fontId="0" fillId="5" borderId="8" xfId="0" applyNumberFormat="1" applyFill="1" applyBorder="1" applyAlignment="1">
      <alignment horizontal="center" vertical="center" shrinkToFit="1"/>
    </xf>
    <xf numFmtId="165" fontId="0" fillId="5" borderId="9" xfId="0" applyNumberFormat="1" applyFill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6" fillId="0" borderId="0" xfId="0" applyFont="1" applyAlignment="1">
      <alignment horizontal="right"/>
    </xf>
    <xf numFmtId="14" fontId="0" fillId="0" borderId="19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5" borderId="11" xfId="0" applyNumberFormat="1" applyFill="1" applyBorder="1" applyAlignment="1">
      <alignment horizontal="center" vertical="center"/>
    </xf>
    <xf numFmtId="14" fontId="0" fillId="5" borderId="10" xfId="0" applyNumberFormat="1" applyFill="1" applyBorder="1" applyAlignment="1">
      <alignment horizontal="center" vertical="center"/>
    </xf>
    <xf numFmtId="14" fontId="0" fillId="5" borderId="16" xfId="0" applyNumberFormat="1" applyFill="1" applyBorder="1" applyAlignment="1">
      <alignment horizontal="center" vertical="center"/>
    </xf>
    <xf numFmtId="14" fontId="0" fillId="5" borderId="15" xfId="0" applyNumberFormat="1" applyFill="1" applyBorder="1" applyAlignment="1">
      <alignment horizontal="center" vertical="center"/>
    </xf>
    <xf numFmtId="14" fontId="0" fillId="5" borderId="14" xfId="0" applyNumberFormat="1" applyFill="1" applyBorder="1" applyAlignment="1">
      <alignment horizontal="center" vertical="center"/>
    </xf>
    <xf numFmtId="14" fontId="0" fillId="5" borderId="13" xfId="0" applyNumberFormat="1" applyFill="1" applyBorder="1" applyAlignment="1">
      <alignment horizontal="center" vertical="center"/>
    </xf>
    <xf numFmtId="14" fontId="0" fillId="5" borderId="12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left" indent="2"/>
    </xf>
    <xf numFmtId="0" fontId="0" fillId="0" borderId="6" xfId="0" applyBorder="1" applyAlignment="1">
      <alignment horizontal="left" indent="3"/>
    </xf>
    <xf numFmtId="0" fontId="0" fillId="0" borderId="6" xfId="0" applyNumberForma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2" fillId="6" borderId="6" xfId="0" applyNumberFormat="1" applyFont="1" applyFill="1" applyBorder="1" applyAlignment="1">
      <alignment horizontal="center" vertical="center"/>
    </xf>
    <xf numFmtId="0" fontId="2" fillId="7" borderId="6" xfId="0" applyNumberFormat="1" applyFont="1" applyFill="1" applyBorder="1" applyAlignment="1">
      <alignment horizontal="center" vertical="center"/>
    </xf>
    <xf numFmtId="0" fontId="2" fillId="8" borderId="6" xfId="0" applyNumberFormat="1" applyFont="1" applyFill="1" applyBorder="1" applyAlignment="1">
      <alignment horizontal="center" vertical="center"/>
    </xf>
    <xf numFmtId="0" fontId="2" fillId="9" borderId="6" xfId="0" applyNumberFormat="1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39"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fgColor theme="0"/>
          <bgColor theme="8" tint="0.7999816888943144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81EDC9F-71C9-4469-B41D-D39F1E42795E}" type="doc">
      <dgm:prSet loTypeId="urn:microsoft.com/office/officeart/2008/layout/NameandTitleOrganizationalChart" loCatId="hierarchy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fr-FR"/>
        </a:p>
      </dgm:t>
    </dgm:pt>
    <dgm:pt modelId="{83A3FA17-95ED-4F0D-A97D-7950DFB05DC1}">
      <dgm:prSet phldrT="[Texte]"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Phase 1 </a:t>
          </a:r>
        </a:p>
      </dgm:t>
    </dgm:pt>
    <dgm:pt modelId="{E3E6AF76-0B1A-46E1-9362-DD8EB9BD1AFE}" type="parTrans" cxnId="{BD8D4D33-5F96-4448-A9DA-9C27DA368DE3}">
      <dgm:prSet/>
      <dgm:spPr/>
      <dgm:t>
        <a:bodyPr/>
        <a:lstStyle/>
        <a:p>
          <a:endParaRPr lang="fr-FR"/>
        </a:p>
      </dgm:t>
    </dgm:pt>
    <dgm:pt modelId="{24F4604D-A6CC-4092-BBBB-9EE2337A674D}" type="sibTrans" cxnId="{BD8D4D33-5F96-4448-A9DA-9C27DA368DE3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gm:t>
    </dgm:pt>
    <dgm:pt modelId="{D5A4B345-1C8D-45BE-A642-9501F3CC5C47}" type="asst">
      <dgm:prSet phldrT="[Texte]"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49833B84-4139-471E-8D1E-A8B552373B49}" type="parTrans" cxnId="{A6F5BC4C-0F4E-429C-98EA-F40CB7708349}">
      <dgm:prSet/>
      <dgm:spPr/>
      <dgm:t>
        <a:bodyPr/>
        <a:lstStyle/>
        <a:p>
          <a:endParaRPr lang="fr-FR"/>
        </a:p>
      </dgm:t>
    </dgm:pt>
    <dgm:pt modelId="{32693342-B96C-4722-9A19-8EA2354B3A7F}" type="sibTrans" cxnId="{A6F5BC4C-0F4E-429C-98EA-F40CB7708349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043CC744-49C5-4D10-830E-055C39544308}">
      <dgm:prSet phldrT="[Texte]"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833D7868-4283-433E-B6E5-56E0ADB0909A}" type="parTrans" cxnId="{6A5D9829-02DE-4DCC-B283-EE8EC03C54DB}">
      <dgm:prSet/>
      <dgm:spPr/>
      <dgm:t>
        <a:bodyPr/>
        <a:lstStyle/>
        <a:p>
          <a:endParaRPr lang="fr-FR"/>
        </a:p>
      </dgm:t>
    </dgm:pt>
    <dgm:pt modelId="{57BE5A1D-D3D6-40F9-AE7F-9B1D792699D7}" type="sibTrans" cxnId="{6A5D9829-02DE-4DCC-B283-EE8EC03C54DB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Sophia</a:t>
          </a:r>
        </a:p>
      </dgm:t>
    </dgm:pt>
    <dgm:pt modelId="{FF9C932C-1D83-4C2E-A43D-B095FDC41117}">
      <dgm:prSet phldrT="[Texte]"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3 Description</a:t>
          </a:r>
        </a:p>
      </dgm:t>
    </dgm:pt>
    <dgm:pt modelId="{0E81E497-CEF4-4ABA-A2A0-365D6B16FC62}" type="parTrans" cxnId="{617E342D-279F-442E-AE87-D998FFD70174}">
      <dgm:prSet/>
      <dgm:spPr/>
      <dgm:t>
        <a:bodyPr/>
        <a:lstStyle/>
        <a:p>
          <a:endParaRPr lang="fr-FR"/>
        </a:p>
      </dgm:t>
    </dgm:pt>
    <dgm:pt modelId="{1367C881-0C5C-4937-A2DA-698F167188CA}" type="sibTrans" cxnId="{617E342D-279F-442E-AE87-D998FFD70174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Lucia</a:t>
          </a:r>
        </a:p>
      </dgm:t>
    </dgm:pt>
    <dgm:pt modelId="{EF7A54AD-863E-41E0-9E7D-3B6F90EBAFC5}">
      <dgm:prSet phldrT="[Texte]"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0D19EB43-9C2F-4FFC-9A69-0F94225595B3}" type="parTrans" cxnId="{56B663E3-6903-4983-91B7-99A99E8A3C8C}">
      <dgm:prSet/>
      <dgm:spPr/>
      <dgm:t>
        <a:bodyPr/>
        <a:lstStyle/>
        <a:p>
          <a:endParaRPr lang="fr-FR"/>
        </a:p>
      </dgm:t>
    </dgm:pt>
    <dgm:pt modelId="{351A7852-6928-4AE2-AD3E-2BC3D75D3EB0}" type="sibTrans" cxnId="{56B663E3-6903-4983-91B7-99A99E8A3C8C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gm:t>
    </dgm:pt>
    <dgm:pt modelId="{6318FD49-9ADD-450A-A340-4339A05A3E82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20EAAC40-8793-46FF-9238-0258EB055E78}" type="parTrans" cxnId="{830FDEEA-0672-4D68-9606-CBD4C93855DD}">
      <dgm:prSet/>
      <dgm:spPr/>
      <dgm:t>
        <a:bodyPr/>
        <a:lstStyle/>
        <a:p>
          <a:endParaRPr lang="fr-FR"/>
        </a:p>
      </dgm:t>
    </dgm:pt>
    <dgm:pt modelId="{10C2808A-481C-4556-AEEC-4EBF3945225E}" type="sibTrans" cxnId="{830FDEEA-0672-4D68-9606-CBD4C93855DD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Sophia</a:t>
          </a:r>
        </a:p>
      </dgm:t>
    </dgm:pt>
    <dgm:pt modelId="{9E5A2DB3-BDF7-40CF-9EBA-D19F8F5EBFED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4 Description</a:t>
          </a:r>
        </a:p>
      </dgm:t>
    </dgm:pt>
    <dgm:pt modelId="{353E6219-FB72-4F2D-B70F-5D13A0D56EF7}" type="parTrans" cxnId="{BA922BD9-E129-4B4E-BDC2-C30545B43BD6}">
      <dgm:prSet/>
      <dgm:spPr/>
      <dgm:t>
        <a:bodyPr/>
        <a:lstStyle/>
        <a:p>
          <a:endParaRPr lang="fr-FR"/>
        </a:p>
      </dgm:t>
    </dgm:pt>
    <dgm:pt modelId="{71A91012-41BC-4FFB-BB46-B3D9F35DBCB7}" type="sibTrans" cxnId="{BA922BD9-E129-4B4E-BDC2-C30545B43BD6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gm:t>
    </dgm:pt>
    <dgm:pt modelId="{91D86AF7-46FE-4DA4-84E9-2634BCE8CF9B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3 Description</a:t>
          </a:r>
        </a:p>
      </dgm:t>
    </dgm:pt>
    <dgm:pt modelId="{695F0873-CBC0-454F-8944-3A106034B97F}" type="parTrans" cxnId="{13CFEB63-7A24-44F5-8055-30C6A329C0C3}">
      <dgm:prSet/>
      <dgm:spPr/>
      <dgm:t>
        <a:bodyPr/>
        <a:lstStyle/>
        <a:p>
          <a:endParaRPr lang="fr-FR"/>
        </a:p>
      </dgm:t>
    </dgm:pt>
    <dgm:pt modelId="{A72ADC86-4A48-4CC5-8D1D-7947D6029629}" type="sibTrans" cxnId="{13CFEB63-7A24-44F5-8055-30C6A329C0C3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Lucia</a:t>
          </a:r>
        </a:p>
      </dgm:t>
    </dgm:pt>
    <dgm:pt modelId="{1134B3CD-1310-4A64-BD38-6693439FBFF9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F344B9D8-781D-4A07-A786-D499D32FA79D}" type="parTrans" cxnId="{A493CEC4-5DC4-46F2-B366-D03170766D82}">
      <dgm:prSet/>
      <dgm:spPr/>
      <dgm:t>
        <a:bodyPr/>
        <a:lstStyle/>
        <a:p>
          <a:endParaRPr lang="fr-FR"/>
        </a:p>
      </dgm:t>
    </dgm:pt>
    <dgm:pt modelId="{C708C4F7-ECF7-4227-A098-4C116720253E}" type="sibTrans" cxnId="{A493CEC4-5DC4-46F2-B366-D03170766D82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Sophia</a:t>
          </a:r>
        </a:p>
      </dgm:t>
    </dgm:pt>
    <dgm:pt modelId="{E2335C79-6CA3-4FE3-8B36-3A173BC032FB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4 Description</a:t>
          </a:r>
        </a:p>
      </dgm:t>
    </dgm:pt>
    <dgm:pt modelId="{EFC37D2E-8779-41C8-8205-442ED6A5AFEA}" type="parTrans" cxnId="{4142879E-4027-431E-AAC5-2A77421EF14C}">
      <dgm:prSet/>
      <dgm:spPr/>
      <dgm:t>
        <a:bodyPr/>
        <a:lstStyle/>
        <a:p>
          <a:endParaRPr lang="fr-FR"/>
        </a:p>
      </dgm:t>
    </dgm:pt>
    <dgm:pt modelId="{BA790B04-92D5-4F53-9A6E-B254E6232BB4}" type="sibTrans" cxnId="{4142879E-4027-431E-AAC5-2A77421EF14C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gm:t>
    </dgm:pt>
    <dgm:pt modelId="{56F2F672-8257-4DD0-B532-A539D32CDF2C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3 Description</a:t>
          </a:r>
        </a:p>
      </dgm:t>
    </dgm:pt>
    <dgm:pt modelId="{ED1D670F-C560-4796-9DD8-203C69265B71}" type="parTrans" cxnId="{41C1C64C-5376-4F61-B4CB-336CF149E7C2}">
      <dgm:prSet/>
      <dgm:spPr/>
      <dgm:t>
        <a:bodyPr/>
        <a:lstStyle/>
        <a:p>
          <a:endParaRPr lang="fr-FR"/>
        </a:p>
      </dgm:t>
    </dgm:pt>
    <dgm:pt modelId="{CAC5A395-0D2E-47C7-8D23-D2A1BD11E9CD}" type="sibTrans" cxnId="{41C1C64C-5376-4F61-B4CB-336CF149E7C2}">
      <dgm:prSet custT="1"/>
      <dgm:spPr>
        <a:solidFill>
          <a:srgbClr val="FFFFFF"/>
        </a:solidFill>
        <a:ln/>
      </dgm:spPr>
      <dgm:t>
        <a:bodyPr/>
        <a:lstStyle/>
        <a:p>
          <a:pPr algn="ctr"/>
          <a:r>
            <a:rPr lang="fr-FR" sz="1000">
              <a:solidFill>
                <a:srgbClr val="00008B"/>
              </a:solidFill>
              <a:latin typeface="Calibri" panose="020F0502020204030204" pitchFamily="34" charset="0"/>
            </a:rPr>
            <a:t>Lucia</a:t>
          </a:r>
        </a:p>
      </dgm:t>
    </dgm:pt>
    <dgm:pt modelId="{1F3EF207-96BC-439F-B354-5C0429BA12E2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40629D31-FABC-405E-85B0-4E4B37DF193A}" type="parTrans" cxnId="{734BE26A-7497-4F17-BD44-B0331C2EAD47}">
      <dgm:prSet/>
      <dgm:spPr/>
      <dgm:t>
        <a:bodyPr/>
        <a:lstStyle/>
        <a:p>
          <a:endParaRPr lang="fr-FR"/>
        </a:p>
      </dgm:t>
    </dgm:pt>
    <dgm:pt modelId="{C2C95458-0B2A-4683-98D5-C2715DB29987}" type="sibTrans" cxnId="{734BE26A-7497-4F17-BD44-B0331C2EAD47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D3012AB6-70CD-4ABF-AB29-C3CFB3200F0B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3 Description</a:t>
          </a:r>
        </a:p>
      </dgm:t>
    </dgm:pt>
    <dgm:pt modelId="{D9A55289-F165-497A-976C-CA7DBAEB001E}" type="parTrans" cxnId="{598B78C7-4A9F-4827-B279-B954ECFCD2D8}">
      <dgm:prSet/>
      <dgm:spPr/>
      <dgm:t>
        <a:bodyPr/>
        <a:lstStyle/>
        <a:p>
          <a:endParaRPr lang="fr-FR"/>
        </a:p>
      </dgm:t>
    </dgm:pt>
    <dgm:pt modelId="{698A8C00-BFD5-48DE-ABA3-AAEC98016C82}" type="sibTrans" cxnId="{598B78C7-4A9F-4827-B279-B954ECFCD2D8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40DF8669-8BD1-431D-BE6A-E96FBF8768FA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3 Description</a:t>
          </a:r>
        </a:p>
      </dgm:t>
    </dgm:pt>
    <dgm:pt modelId="{8C35852E-B6C3-41F0-8C7D-C3E9526CFC32}" type="parTrans" cxnId="{D1AA604B-D876-458C-A08C-C6CC4CFE5CAC}">
      <dgm:prSet/>
      <dgm:spPr/>
      <dgm:t>
        <a:bodyPr/>
        <a:lstStyle/>
        <a:p>
          <a:endParaRPr lang="fr-FR"/>
        </a:p>
      </dgm:t>
    </dgm:pt>
    <dgm:pt modelId="{19A80517-36E2-43A7-AD4D-154DE2F5293C}" type="sibTrans" cxnId="{D1AA604B-D876-458C-A08C-C6CC4CFE5CAC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F9898ECA-98AC-4592-8CE6-893C60E00A63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C56C83E1-C16E-4CE8-8141-BC98567EB9DE}" type="parTrans" cxnId="{15AAA711-A1F0-40F9-A205-257FD0D80F5B}">
      <dgm:prSet/>
      <dgm:spPr/>
      <dgm:t>
        <a:bodyPr/>
        <a:lstStyle/>
        <a:p>
          <a:endParaRPr lang="fr-FR"/>
        </a:p>
      </dgm:t>
    </dgm:pt>
    <dgm:pt modelId="{5E5B9406-9EF6-41BF-A801-5F4AA856BBC4}" type="sibTrans" cxnId="{15AAA711-A1F0-40F9-A205-257FD0D80F5B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B18E1C8C-2F02-4E69-9D6C-6AFFE5465792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2 Description</a:t>
          </a:r>
        </a:p>
      </dgm:t>
    </dgm:pt>
    <dgm:pt modelId="{F3FA14F8-DCE8-4DEB-8EC2-5790C32F36E4}" type="parTrans" cxnId="{99D469F0-3FE9-43B1-BD5F-C0D08324A56B}">
      <dgm:prSet/>
      <dgm:spPr/>
      <dgm:t>
        <a:bodyPr/>
        <a:lstStyle/>
        <a:p>
          <a:endParaRPr lang="fr-FR"/>
        </a:p>
      </dgm:t>
    </dgm:pt>
    <dgm:pt modelId="{7563117A-7AAE-4611-A3AD-2E11F9226891}" type="sibTrans" cxnId="{99D469F0-3FE9-43B1-BD5F-C0D08324A56B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5BEF9848-AE88-44E8-9C9E-BEEBC159ED7F}">
      <dgm:prSet custT="1"/>
      <dgm:spPr>
        <a:solidFill>
          <a:srgbClr val="FFFFFF"/>
        </a:solidFill>
        <a:ln/>
      </dgm:spPr>
      <dgm:t>
        <a:bodyPr/>
        <a:lstStyle/>
        <a:p>
          <a:r>
            <a:rPr lang="fr-FR" sz="900" b="1">
              <a:solidFill>
                <a:srgbClr val="8B0000"/>
              </a:solidFill>
            </a:rPr>
            <a:t>Task Level 3 Description</a:t>
          </a:r>
        </a:p>
      </dgm:t>
    </dgm:pt>
    <dgm:pt modelId="{5AAC3267-EC69-47E2-84B8-D9EA13040A7D}" type="parTrans" cxnId="{A742F5AA-D8C2-44CB-B191-2CBE7BF01093}">
      <dgm:prSet/>
      <dgm:spPr/>
      <dgm:t>
        <a:bodyPr/>
        <a:lstStyle/>
        <a:p>
          <a:endParaRPr lang="fr-FR"/>
        </a:p>
      </dgm:t>
    </dgm:pt>
    <dgm:pt modelId="{5F28934F-69FE-4D7E-9123-3504CB7A3A1A}" type="sibTrans" cxnId="{A742F5AA-D8C2-44CB-B191-2CBE7BF01093}">
      <dgm:prSet custT="1"/>
      <dgm:spPr>
        <a:solidFill>
          <a:srgbClr val="FFFFFF"/>
        </a:solidFill>
        <a:ln/>
      </dgm:spPr>
      <dgm:t>
        <a:bodyPr/>
        <a:lstStyle/>
        <a:p>
          <a:pPr algn="ctr"/>
          <a:endParaRPr lang="fr-FR" sz="1000">
            <a:solidFill>
              <a:srgbClr val="00008B"/>
            </a:solidFill>
            <a:latin typeface="Calibri" panose="020F0502020204030204" pitchFamily="34" charset="0"/>
          </a:endParaRPr>
        </a:p>
      </dgm:t>
    </dgm:pt>
    <dgm:pt modelId="{4868EFF8-94AB-41D4-A454-B25911E5DDDC}" type="pres">
      <dgm:prSet presAssocID="{181EDC9F-71C9-4469-B41D-D39F1E42795E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</dgm:pt>
    <dgm:pt modelId="{21CF50DC-94E4-49BA-893D-952B2BF29FEC}" type="pres">
      <dgm:prSet presAssocID="{83A3FA17-95ED-4F0D-A97D-7950DFB05DC1}" presName="hierRoot1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39F8FAA3-5EE9-4ACE-BE60-7DB90A7FFD9A}" type="pres">
      <dgm:prSet presAssocID="{83A3FA17-95ED-4F0D-A97D-7950DFB05DC1}" presName="rootComposite1" presStyleCnt="0"/>
      <dgm:spPr>
        <a:solidFill>
          <a:srgbClr val="FFFFFF"/>
        </a:solidFill>
        <a:ln/>
      </dgm:spPr>
    </dgm:pt>
    <dgm:pt modelId="{335C57EF-08A8-47D7-B8A3-4C5357C4CEE3}" type="pres">
      <dgm:prSet presAssocID="{83A3FA17-95ED-4F0D-A97D-7950DFB05DC1}" presName="rootText1" presStyleLbl="node0" presStyleIdx="0" presStyleCnt="1">
        <dgm:presLayoutVars>
          <dgm:chMax/>
          <dgm:chPref val="3"/>
        </dgm:presLayoutVars>
      </dgm:prSet>
      <dgm:spPr/>
    </dgm:pt>
    <dgm:pt modelId="{07ECEEB5-041B-40F7-877E-856026647631}" type="pres">
      <dgm:prSet presAssocID="{83A3FA17-95ED-4F0D-A97D-7950DFB05DC1}" presName="titleText1" presStyleLbl="fgAcc0" presStyleIdx="0" presStyleCnt="1">
        <dgm:presLayoutVars>
          <dgm:chMax val="0"/>
          <dgm:chPref val="0"/>
        </dgm:presLayoutVars>
      </dgm:prSet>
      <dgm:spPr/>
    </dgm:pt>
    <dgm:pt modelId="{F2451B13-D03D-464E-9055-B5FD923D7719}" type="pres">
      <dgm:prSet presAssocID="{83A3FA17-95ED-4F0D-A97D-7950DFB05DC1}" presName="rootConnector1" presStyleLbl="node1" presStyleIdx="0" presStyleCnt="15"/>
      <dgm:spPr/>
    </dgm:pt>
    <dgm:pt modelId="{7E7CAEC2-09A0-4370-9708-1F94C7E35B5D}" type="pres">
      <dgm:prSet presAssocID="{83A3FA17-95ED-4F0D-A97D-7950DFB05DC1}" presName="hierChild2" presStyleCnt="0"/>
      <dgm:spPr>
        <a:solidFill>
          <a:srgbClr val="FFFFFF"/>
        </a:solidFill>
        <a:ln/>
      </dgm:spPr>
    </dgm:pt>
    <dgm:pt modelId="{5FD2AD9F-0131-4DE1-8CC2-661821368079}" type="pres">
      <dgm:prSet presAssocID="{833D7868-4283-433E-B6E5-56E0ADB0909A}" presName="Name37" presStyleLbl="parChTrans1D2" presStyleIdx="0" presStyleCnt="8"/>
      <dgm:spPr/>
    </dgm:pt>
    <dgm:pt modelId="{18972CDF-AE99-40B3-B5F0-B2D52B883C4D}" type="pres">
      <dgm:prSet presAssocID="{043CC744-49C5-4D10-830E-055C39544308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6540A9E8-6440-4927-87B6-A3350836B593}" type="pres">
      <dgm:prSet presAssocID="{043CC744-49C5-4D10-830E-055C39544308}" presName="rootComposite" presStyleCnt="0"/>
      <dgm:spPr>
        <a:solidFill>
          <a:srgbClr val="FFFFFF"/>
        </a:solidFill>
        <a:ln/>
      </dgm:spPr>
    </dgm:pt>
    <dgm:pt modelId="{6131A3ED-5D65-45D8-A611-89974AF80D08}" type="pres">
      <dgm:prSet presAssocID="{043CC744-49C5-4D10-830E-055C39544308}" presName="rootText" presStyleLbl="node1" presStyleIdx="0" presStyleCnt="15">
        <dgm:presLayoutVars>
          <dgm:chMax/>
          <dgm:chPref val="3"/>
        </dgm:presLayoutVars>
      </dgm:prSet>
      <dgm:spPr/>
    </dgm:pt>
    <dgm:pt modelId="{8FA26709-29AA-4753-A84E-9F44F2FD7FAB}" type="pres">
      <dgm:prSet presAssocID="{043CC744-49C5-4D10-830E-055C39544308}" presName="titleText2" presStyleLbl="fgAcc1" presStyleIdx="0" presStyleCnt="15">
        <dgm:presLayoutVars>
          <dgm:chMax val="0"/>
          <dgm:chPref val="0"/>
        </dgm:presLayoutVars>
      </dgm:prSet>
      <dgm:spPr/>
    </dgm:pt>
    <dgm:pt modelId="{73CC1ACA-707E-4683-A823-84E81D2E5DB5}" type="pres">
      <dgm:prSet presAssocID="{043CC744-49C5-4D10-830E-055C39544308}" presName="rootConnector" presStyleLbl="node2" presStyleIdx="0" presStyleCnt="0"/>
      <dgm:spPr/>
    </dgm:pt>
    <dgm:pt modelId="{65A12A89-7DB9-455E-A866-2E7CC0C85ECC}" type="pres">
      <dgm:prSet presAssocID="{043CC744-49C5-4D10-830E-055C39544308}" presName="hierChild4" presStyleCnt="0"/>
      <dgm:spPr>
        <a:solidFill>
          <a:srgbClr val="FFFFFF"/>
        </a:solidFill>
        <a:ln/>
      </dgm:spPr>
    </dgm:pt>
    <dgm:pt modelId="{364877F1-A5C1-4B2F-A374-28E41C8C77D0}" type="pres">
      <dgm:prSet presAssocID="{5AAC3267-EC69-47E2-84B8-D9EA13040A7D}" presName="Name37" presStyleLbl="parChTrans1D3" presStyleIdx="0" presStyleCnt="6"/>
      <dgm:spPr/>
    </dgm:pt>
    <dgm:pt modelId="{FCC8D759-9248-471E-9D98-73F685985227}" type="pres">
      <dgm:prSet presAssocID="{5BEF9848-AE88-44E8-9C9E-BEEBC159ED7F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F306B424-517C-4448-B4B8-465AD9197DE3}" type="pres">
      <dgm:prSet presAssocID="{5BEF9848-AE88-44E8-9C9E-BEEBC159ED7F}" presName="rootComposite" presStyleCnt="0"/>
      <dgm:spPr>
        <a:solidFill>
          <a:srgbClr val="FFFFFF"/>
        </a:solidFill>
        <a:ln/>
      </dgm:spPr>
    </dgm:pt>
    <dgm:pt modelId="{7EDABBF6-94F6-4F1A-BCE4-67BE1B87A914}" type="pres">
      <dgm:prSet presAssocID="{5BEF9848-AE88-44E8-9C9E-BEEBC159ED7F}" presName="rootText" presStyleLbl="node1" presStyleIdx="1" presStyleCnt="15">
        <dgm:presLayoutVars>
          <dgm:chMax/>
          <dgm:chPref val="3"/>
        </dgm:presLayoutVars>
      </dgm:prSet>
      <dgm:spPr/>
    </dgm:pt>
    <dgm:pt modelId="{A1A2A2E6-C24A-464B-A2C4-D3ED4F8F2630}" type="pres">
      <dgm:prSet presAssocID="{5BEF9848-AE88-44E8-9C9E-BEEBC159ED7F}" presName="titleText2" presStyleLbl="fgAcc1" presStyleIdx="1" presStyleCnt="15">
        <dgm:presLayoutVars>
          <dgm:chMax val="0"/>
          <dgm:chPref val="0"/>
        </dgm:presLayoutVars>
      </dgm:prSet>
      <dgm:spPr/>
    </dgm:pt>
    <dgm:pt modelId="{EB089105-649E-4D85-9027-9173A0586BE0}" type="pres">
      <dgm:prSet presAssocID="{5BEF9848-AE88-44E8-9C9E-BEEBC159ED7F}" presName="rootConnector" presStyleLbl="node3" presStyleIdx="0" presStyleCnt="0"/>
      <dgm:spPr/>
    </dgm:pt>
    <dgm:pt modelId="{E954AD54-99EA-4037-B1C4-83269EB5985A}" type="pres">
      <dgm:prSet presAssocID="{5BEF9848-AE88-44E8-9C9E-BEEBC159ED7F}" presName="hierChild4" presStyleCnt="0"/>
      <dgm:spPr>
        <a:solidFill>
          <a:srgbClr val="FFFFFF"/>
        </a:solidFill>
        <a:ln/>
      </dgm:spPr>
    </dgm:pt>
    <dgm:pt modelId="{A95251A8-E9F6-4E85-9833-827DE6A68263}" type="pres">
      <dgm:prSet presAssocID="{5BEF9848-AE88-44E8-9C9E-BEEBC159ED7F}" presName="hierChild5" presStyleCnt="0"/>
      <dgm:spPr>
        <a:solidFill>
          <a:srgbClr val="FFFFFF"/>
        </a:solidFill>
        <a:ln/>
      </dgm:spPr>
    </dgm:pt>
    <dgm:pt modelId="{56EB7ACE-48FC-4BAE-B279-C2FFE1B34175}" type="pres">
      <dgm:prSet presAssocID="{043CC744-49C5-4D10-830E-055C39544308}" presName="hierChild5" presStyleCnt="0"/>
      <dgm:spPr>
        <a:solidFill>
          <a:srgbClr val="FFFFFF"/>
        </a:solidFill>
        <a:ln/>
      </dgm:spPr>
    </dgm:pt>
    <dgm:pt modelId="{E2B6B6E7-F140-4C70-A1FE-60635A4D942A}" type="pres">
      <dgm:prSet presAssocID="{F3FA14F8-DCE8-4DEB-8EC2-5790C32F36E4}" presName="Name37" presStyleLbl="parChTrans1D2" presStyleIdx="1" presStyleCnt="8"/>
      <dgm:spPr/>
    </dgm:pt>
    <dgm:pt modelId="{A59BA704-55DE-4DBD-A9DF-3B0DCADAAAC3}" type="pres">
      <dgm:prSet presAssocID="{B18E1C8C-2F02-4E69-9D6C-6AFFE5465792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03503F8D-49A7-4D8B-B860-B7F3C0B1A65B}" type="pres">
      <dgm:prSet presAssocID="{B18E1C8C-2F02-4E69-9D6C-6AFFE5465792}" presName="rootComposite" presStyleCnt="0"/>
      <dgm:spPr>
        <a:solidFill>
          <a:srgbClr val="FFFFFF"/>
        </a:solidFill>
        <a:ln/>
      </dgm:spPr>
    </dgm:pt>
    <dgm:pt modelId="{4989D0DD-E81E-4140-B584-B6863E1673F4}" type="pres">
      <dgm:prSet presAssocID="{B18E1C8C-2F02-4E69-9D6C-6AFFE5465792}" presName="rootText" presStyleLbl="node1" presStyleIdx="2" presStyleCnt="15">
        <dgm:presLayoutVars>
          <dgm:chMax/>
          <dgm:chPref val="3"/>
        </dgm:presLayoutVars>
      </dgm:prSet>
      <dgm:spPr/>
    </dgm:pt>
    <dgm:pt modelId="{8A100DDD-6AFE-43C4-9791-2D703994052A}" type="pres">
      <dgm:prSet presAssocID="{B18E1C8C-2F02-4E69-9D6C-6AFFE5465792}" presName="titleText2" presStyleLbl="fgAcc1" presStyleIdx="2" presStyleCnt="15">
        <dgm:presLayoutVars>
          <dgm:chMax val="0"/>
          <dgm:chPref val="0"/>
        </dgm:presLayoutVars>
      </dgm:prSet>
      <dgm:spPr/>
    </dgm:pt>
    <dgm:pt modelId="{18C4030D-0048-4C2D-9EA4-511C0507C912}" type="pres">
      <dgm:prSet presAssocID="{B18E1C8C-2F02-4E69-9D6C-6AFFE5465792}" presName="rootConnector" presStyleLbl="node2" presStyleIdx="0" presStyleCnt="0"/>
      <dgm:spPr/>
    </dgm:pt>
    <dgm:pt modelId="{C659DA43-266F-4D0C-B307-57AB56268FF3}" type="pres">
      <dgm:prSet presAssocID="{B18E1C8C-2F02-4E69-9D6C-6AFFE5465792}" presName="hierChild4" presStyleCnt="0"/>
      <dgm:spPr>
        <a:solidFill>
          <a:srgbClr val="FFFFFF"/>
        </a:solidFill>
        <a:ln/>
      </dgm:spPr>
    </dgm:pt>
    <dgm:pt modelId="{A8423A40-5034-4A37-862D-B0A81E5492F8}" type="pres">
      <dgm:prSet presAssocID="{B18E1C8C-2F02-4E69-9D6C-6AFFE5465792}" presName="hierChild5" presStyleCnt="0"/>
      <dgm:spPr>
        <a:solidFill>
          <a:srgbClr val="FFFFFF"/>
        </a:solidFill>
        <a:ln/>
      </dgm:spPr>
    </dgm:pt>
    <dgm:pt modelId="{FD1A75D6-8A91-4383-BB87-33DF94CFDC69}" type="pres">
      <dgm:prSet presAssocID="{C56C83E1-C16E-4CE8-8141-BC98567EB9DE}" presName="Name37" presStyleLbl="parChTrans1D2" presStyleIdx="2" presStyleCnt="8"/>
      <dgm:spPr/>
    </dgm:pt>
    <dgm:pt modelId="{7FCDB64A-FD5C-45CC-89ED-62F874BF3ABE}" type="pres">
      <dgm:prSet presAssocID="{F9898ECA-98AC-4592-8CE6-893C60E00A63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95E1E6D9-60F7-4A2D-BDC5-0D49F7622ED5}" type="pres">
      <dgm:prSet presAssocID="{F9898ECA-98AC-4592-8CE6-893C60E00A63}" presName="rootComposite" presStyleCnt="0"/>
      <dgm:spPr>
        <a:solidFill>
          <a:srgbClr val="FFFFFF"/>
        </a:solidFill>
        <a:ln/>
      </dgm:spPr>
    </dgm:pt>
    <dgm:pt modelId="{4C686AA8-23C1-48AA-A863-CFEB4C692EEF}" type="pres">
      <dgm:prSet presAssocID="{F9898ECA-98AC-4592-8CE6-893C60E00A63}" presName="rootText" presStyleLbl="node1" presStyleIdx="3" presStyleCnt="15">
        <dgm:presLayoutVars>
          <dgm:chMax/>
          <dgm:chPref val="3"/>
        </dgm:presLayoutVars>
      </dgm:prSet>
      <dgm:spPr/>
    </dgm:pt>
    <dgm:pt modelId="{B45007D9-1991-4640-8BBB-A0F6637130C7}" type="pres">
      <dgm:prSet presAssocID="{F9898ECA-98AC-4592-8CE6-893C60E00A63}" presName="titleText2" presStyleLbl="fgAcc1" presStyleIdx="3" presStyleCnt="15">
        <dgm:presLayoutVars>
          <dgm:chMax val="0"/>
          <dgm:chPref val="0"/>
        </dgm:presLayoutVars>
      </dgm:prSet>
      <dgm:spPr/>
    </dgm:pt>
    <dgm:pt modelId="{B43589E3-40CB-49F7-9DBC-D6D21E7895EA}" type="pres">
      <dgm:prSet presAssocID="{F9898ECA-98AC-4592-8CE6-893C60E00A63}" presName="rootConnector" presStyleLbl="node2" presStyleIdx="0" presStyleCnt="0"/>
      <dgm:spPr/>
    </dgm:pt>
    <dgm:pt modelId="{7492FCAB-8D53-43C5-B7CF-5B1EAB4B5C5F}" type="pres">
      <dgm:prSet presAssocID="{F9898ECA-98AC-4592-8CE6-893C60E00A63}" presName="hierChild4" presStyleCnt="0"/>
      <dgm:spPr>
        <a:solidFill>
          <a:srgbClr val="FFFFFF"/>
        </a:solidFill>
        <a:ln/>
      </dgm:spPr>
    </dgm:pt>
    <dgm:pt modelId="{DCCF2C40-838D-439F-B1B0-E209FA11A2E5}" type="pres">
      <dgm:prSet presAssocID="{8C35852E-B6C3-41F0-8C7D-C3E9526CFC32}" presName="Name37" presStyleLbl="parChTrans1D3" presStyleIdx="1" presStyleCnt="6"/>
      <dgm:spPr/>
    </dgm:pt>
    <dgm:pt modelId="{9AA8D43A-DAEF-481B-B9C4-3A976B45525B}" type="pres">
      <dgm:prSet presAssocID="{40DF8669-8BD1-431D-BE6A-E96FBF8768FA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51FACCD0-FCA1-403A-8A4D-8490D2D660CA}" type="pres">
      <dgm:prSet presAssocID="{40DF8669-8BD1-431D-BE6A-E96FBF8768FA}" presName="rootComposite" presStyleCnt="0"/>
      <dgm:spPr>
        <a:solidFill>
          <a:srgbClr val="FFFFFF"/>
        </a:solidFill>
        <a:ln/>
      </dgm:spPr>
    </dgm:pt>
    <dgm:pt modelId="{422C7A9E-2BB9-430B-9180-9F276C7D30B2}" type="pres">
      <dgm:prSet presAssocID="{40DF8669-8BD1-431D-BE6A-E96FBF8768FA}" presName="rootText" presStyleLbl="node1" presStyleIdx="4" presStyleCnt="15">
        <dgm:presLayoutVars>
          <dgm:chMax/>
          <dgm:chPref val="3"/>
        </dgm:presLayoutVars>
      </dgm:prSet>
      <dgm:spPr/>
    </dgm:pt>
    <dgm:pt modelId="{F606E186-6D3F-4D50-BBC2-00915BD122EA}" type="pres">
      <dgm:prSet presAssocID="{40DF8669-8BD1-431D-BE6A-E96FBF8768FA}" presName="titleText2" presStyleLbl="fgAcc1" presStyleIdx="4" presStyleCnt="15">
        <dgm:presLayoutVars>
          <dgm:chMax val="0"/>
          <dgm:chPref val="0"/>
        </dgm:presLayoutVars>
      </dgm:prSet>
      <dgm:spPr/>
    </dgm:pt>
    <dgm:pt modelId="{DC406775-C64A-421F-A44E-ECD917245087}" type="pres">
      <dgm:prSet presAssocID="{40DF8669-8BD1-431D-BE6A-E96FBF8768FA}" presName="rootConnector" presStyleLbl="node3" presStyleIdx="0" presStyleCnt="0"/>
      <dgm:spPr/>
    </dgm:pt>
    <dgm:pt modelId="{3B3F2CA1-D778-43A4-A556-3BA86020CB0E}" type="pres">
      <dgm:prSet presAssocID="{40DF8669-8BD1-431D-BE6A-E96FBF8768FA}" presName="hierChild4" presStyleCnt="0"/>
      <dgm:spPr>
        <a:solidFill>
          <a:srgbClr val="FFFFFF"/>
        </a:solidFill>
        <a:ln/>
      </dgm:spPr>
    </dgm:pt>
    <dgm:pt modelId="{72DE9A56-1619-427E-9B80-B9DCE35B3E15}" type="pres">
      <dgm:prSet presAssocID="{40DF8669-8BD1-431D-BE6A-E96FBF8768FA}" presName="hierChild5" presStyleCnt="0"/>
      <dgm:spPr>
        <a:solidFill>
          <a:srgbClr val="FFFFFF"/>
        </a:solidFill>
        <a:ln/>
      </dgm:spPr>
    </dgm:pt>
    <dgm:pt modelId="{1EFCDA62-B55C-48A2-A24A-4E979D59439F}" type="pres">
      <dgm:prSet presAssocID="{D9A55289-F165-497A-976C-CA7DBAEB001E}" presName="Name37" presStyleLbl="parChTrans1D3" presStyleIdx="2" presStyleCnt="6"/>
      <dgm:spPr/>
    </dgm:pt>
    <dgm:pt modelId="{25700880-70A1-4C2B-80D0-2204544CC209}" type="pres">
      <dgm:prSet presAssocID="{D3012AB6-70CD-4ABF-AB29-C3CFB3200F0B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3C870813-FAE1-4D80-B5A9-031FC6DB4E10}" type="pres">
      <dgm:prSet presAssocID="{D3012AB6-70CD-4ABF-AB29-C3CFB3200F0B}" presName="rootComposite" presStyleCnt="0"/>
      <dgm:spPr>
        <a:solidFill>
          <a:srgbClr val="FFFFFF"/>
        </a:solidFill>
        <a:ln/>
      </dgm:spPr>
    </dgm:pt>
    <dgm:pt modelId="{40DA7A7D-98C5-4EC9-9199-AB3AA309F4FD}" type="pres">
      <dgm:prSet presAssocID="{D3012AB6-70CD-4ABF-AB29-C3CFB3200F0B}" presName="rootText" presStyleLbl="node1" presStyleIdx="5" presStyleCnt="15">
        <dgm:presLayoutVars>
          <dgm:chMax/>
          <dgm:chPref val="3"/>
        </dgm:presLayoutVars>
      </dgm:prSet>
      <dgm:spPr/>
    </dgm:pt>
    <dgm:pt modelId="{25533EBF-73F3-4CAA-A59A-48DD84DE108D}" type="pres">
      <dgm:prSet presAssocID="{D3012AB6-70CD-4ABF-AB29-C3CFB3200F0B}" presName="titleText2" presStyleLbl="fgAcc1" presStyleIdx="5" presStyleCnt="15">
        <dgm:presLayoutVars>
          <dgm:chMax val="0"/>
          <dgm:chPref val="0"/>
        </dgm:presLayoutVars>
      </dgm:prSet>
      <dgm:spPr/>
    </dgm:pt>
    <dgm:pt modelId="{DD97DE8F-A9E5-48BB-BA99-16BD5C1FCECF}" type="pres">
      <dgm:prSet presAssocID="{D3012AB6-70CD-4ABF-AB29-C3CFB3200F0B}" presName="rootConnector" presStyleLbl="node3" presStyleIdx="0" presStyleCnt="0"/>
      <dgm:spPr/>
    </dgm:pt>
    <dgm:pt modelId="{85E37108-E7C2-48BE-8E64-72AE5D9B7662}" type="pres">
      <dgm:prSet presAssocID="{D3012AB6-70CD-4ABF-AB29-C3CFB3200F0B}" presName="hierChild4" presStyleCnt="0"/>
      <dgm:spPr>
        <a:solidFill>
          <a:srgbClr val="FFFFFF"/>
        </a:solidFill>
        <a:ln/>
      </dgm:spPr>
    </dgm:pt>
    <dgm:pt modelId="{3A7F7312-17CB-4367-A1A2-C2500336E716}" type="pres">
      <dgm:prSet presAssocID="{D3012AB6-70CD-4ABF-AB29-C3CFB3200F0B}" presName="hierChild5" presStyleCnt="0"/>
      <dgm:spPr>
        <a:solidFill>
          <a:srgbClr val="FFFFFF"/>
        </a:solidFill>
        <a:ln/>
      </dgm:spPr>
    </dgm:pt>
    <dgm:pt modelId="{B4F181F4-81F9-49FE-B13F-35E64465F0E5}" type="pres">
      <dgm:prSet presAssocID="{F9898ECA-98AC-4592-8CE6-893C60E00A63}" presName="hierChild5" presStyleCnt="0"/>
      <dgm:spPr>
        <a:solidFill>
          <a:srgbClr val="FFFFFF"/>
        </a:solidFill>
        <a:ln/>
      </dgm:spPr>
    </dgm:pt>
    <dgm:pt modelId="{3ED2ECC6-9528-46D8-8737-C9A686627788}" type="pres">
      <dgm:prSet presAssocID="{40629D31-FABC-405E-85B0-4E4B37DF193A}" presName="Name37" presStyleLbl="parChTrans1D2" presStyleIdx="3" presStyleCnt="8"/>
      <dgm:spPr/>
    </dgm:pt>
    <dgm:pt modelId="{6513774B-D547-4AE3-A002-B36BC98FA6E5}" type="pres">
      <dgm:prSet presAssocID="{1F3EF207-96BC-439F-B354-5C0429BA12E2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0238106D-E870-47BF-BA55-31FD614EB751}" type="pres">
      <dgm:prSet presAssocID="{1F3EF207-96BC-439F-B354-5C0429BA12E2}" presName="rootComposite" presStyleCnt="0"/>
      <dgm:spPr>
        <a:solidFill>
          <a:srgbClr val="FFFFFF"/>
        </a:solidFill>
        <a:ln/>
      </dgm:spPr>
    </dgm:pt>
    <dgm:pt modelId="{C0D8B78A-41A9-4B9B-A35C-24FCD2A6A4F9}" type="pres">
      <dgm:prSet presAssocID="{1F3EF207-96BC-439F-B354-5C0429BA12E2}" presName="rootText" presStyleLbl="node1" presStyleIdx="6" presStyleCnt="15">
        <dgm:presLayoutVars>
          <dgm:chMax/>
          <dgm:chPref val="3"/>
        </dgm:presLayoutVars>
      </dgm:prSet>
      <dgm:spPr/>
    </dgm:pt>
    <dgm:pt modelId="{8A08EC9D-2A4C-4F24-AA5A-0F7CB5F96DB5}" type="pres">
      <dgm:prSet presAssocID="{1F3EF207-96BC-439F-B354-5C0429BA12E2}" presName="titleText2" presStyleLbl="fgAcc1" presStyleIdx="6" presStyleCnt="15">
        <dgm:presLayoutVars>
          <dgm:chMax val="0"/>
          <dgm:chPref val="0"/>
        </dgm:presLayoutVars>
      </dgm:prSet>
      <dgm:spPr/>
    </dgm:pt>
    <dgm:pt modelId="{F35E1D16-3B27-4DE1-9828-797010687FE8}" type="pres">
      <dgm:prSet presAssocID="{1F3EF207-96BC-439F-B354-5C0429BA12E2}" presName="rootConnector" presStyleLbl="node2" presStyleIdx="0" presStyleCnt="0"/>
      <dgm:spPr/>
    </dgm:pt>
    <dgm:pt modelId="{E2077BE3-8B4F-45F3-B181-CB35C078283B}" type="pres">
      <dgm:prSet presAssocID="{1F3EF207-96BC-439F-B354-5C0429BA12E2}" presName="hierChild4" presStyleCnt="0"/>
      <dgm:spPr>
        <a:solidFill>
          <a:srgbClr val="FFFFFF"/>
        </a:solidFill>
        <a:ln/>
      </dgm:spPr>
    </dgm:pt>
    <dgm:pt modelId="{910AB606-0FED-4F6E-ACD9-B25891BFD064}" type="pres">
      <dgm:prSet presAssocID="{ED1D670F-C560-4796-9DD8-203C69265B71}" presName="Name37" presStyleLbl="parChTrans1D3" presStyleIdx="3" presStyleCnt="6"/>
      <dgm:spPr/>
    </dgm:pt>
    <dgm:pt modelId="{C20B5D63-8BDC-4538-8C02-28A2D570D94A}" type="pres">
      <dgm:prSet presAssocID="{56F2F672-8257-4DD0-B532-A539D32CDF2C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1B6EB2C5-7A3D-4682-B631-569511115AF4}" type="pres">
      <dgm:prSet presAssocID="{56F2F672-8257-4DD0-B532-A539D32CDF2C}" presName="rootComposite" presStyleCnt="0"/>
      <dgm:spPr>
        <a:solidFill>
          <a:srgbClr val="FFFFFF"/>
        </a:solidFill>
        <a:ln/>
      </dgm:spPr>
    </dgm:pt>
    <dgm:pt modelId="{878415FD-E9F7-45B8-984D-E8F235A53BFE}" type="pres">
      <dgm:prSet presAssocID="{56F2F672-8257-4DD0-B532-A539D32CDF2C}" presName="rootText" presStyleLbl="node1" presStyleIdx="7" presStyleCnt="15">
        <dgm:presLayoutVars>
          <dgm:chMax/>
          <dgm:chPref val="3"/>
        </dgm:presLayoutVars>
      </dgm:prSet>
      <dgm:spPr/>
    </dgm:pt>
    <dgm:pt modelId="{5465DF4B-A883-464D-B11E-8D07498434E3}" type="pres">
      <dgm:prSet presAssocID="{56F2F672-8257-4DD0-B532-A539D32CDF2C}" presName="titleText2" presStyleLbl="fgAcc1" presStyleIdx="7" presStyleCnt="15">
        <dgm:presLayoutVars>
          <dgm:chMax val="0"/>
          <dgm:chPref val="0"/>
        </dgm:presLayoutVars>
      </dgm:prSet>
      <dgm:spPr/>
    </dgm:pt>
    <dgm:pt modelId="{179BB237-1CFB-490B-924A-A7595CB6A146}" type="pres">
      <dgm:prSet presAssocID="{56F2F672-8257-4DD0-B532-A539D32CDF2C}" presName="rootConnector" presStyleLbl="node3" presStyleIdx="0" presStyleCnt="0"/>
      <dgm:spPr/>
    </dgm:pt>
    <dgm:pt modelId="{4C823619-7CAE-4442-ACD5-987DF95E7E04}" type="pres">
      <dgm:prSet presAssocID="{56F2F672-8257-4DD0-B532-A539D32CDF2C}" presName="hierChild4" presStyleCnt="0"/>
      <dgm:spPr>
        <a:solidFill>
          <a:srgbClr val="FFFFFF"/>
        </a:solidFill>
        <a:ln/>
      </dgm:spPr>
    </dgm:pt>
    <dgm:pt modelId="{0E43B6FA-C70C-4A24-9663-3BE53A278CD5}" type="pres">
      <dgm:prSet presAssocID="{EFC37D2E-8779-41C8-8205-442ED6A5AFEA}" presName="Name37" presStyleLbl="parChTrans1D4" presStyleIdx="0" presStyleCnt="2"/>
      <dgm:spPr/>
    </dgm:pt>
    <dgm:pt modelId="{FC692554-0260-468E-99DC-8E38223073A5}" type="pres">
      <dgm:prSet presAssocID="{E2335C79-6CA3-4FE3-8B36-3A173BC032FB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C1C0D62D-8203-4E9D-AF9A-518BF3CA5E21}" type="pres">
      <dgm:prSet presAssocID="{E2335C79-6CA3-4FE3-8B36-3A173BC032FB}" presName="rootComposite" presStyleCnt="0"/>
      <dgm:spPr>
        <a:solidFill>
          <a:srgbClr val="FFFFFF"/>
        </a:solidFill>
        <a:ln/>
      </dgm:spPr>
    </dgm:pt>
    <dgm:pt modelId="{7F26CDAA-A2DD-4B02-9000-6FE138CC6036}" type="pres">
      <dgm:prSet presAssocID="{E2335C79-6CA3-4FE3-8B36-3A173BC032FB}" presName="rootText" presStyleLbl="node1" presStyleIdx="8" presStyleCnt="15">
        <dgm:presLayoutVars>
          <dgm:chMax/>
          <dgm:chPref val="3"/>
        </dgm:presLayoutVars>
      </dgm:prSet>
      <dgm:spPr/>
    </dgm:pt>
    <dgm:pt modelId="{BCD4D81B-5F9D-4DDA-B8E9-AC375FF09135}" type="pres">
      <dgm:prSet presAssocID="{E2335C79-6CA3-4FE3-8B36-3A173BC032FB}" presName="titleText2" presStyleLbl="fgAcc1" presStyleIdx="8" presStyleCnt="15">
        <dgm:presLayoutVars>
          <dgm:chMax val="0"/>
          <dgm:chPref val="0"/>
        </dgm:presLayoutVars>
      </dgm:prSet>
      <dgm:spPr/>
    </dgm:pt>
    <dgm:pt modelId="{86616D80-3E5C-422B-B641-3E4725C99DC9}" type="pres">
      <dgm:prSet presAssocID="{E2335C79-6CA3-4FE3-8B36-3A173BC032FB}" presName="rootConnector" presStyleLbl="node4" presStyleIdx="0" presStyleCnt="0"/>
      <dgm:spPr/>
    </dgm:pt>
    <dgm:pt modelId="{0435D02C-9A8A-4AE9-8AD4-684AA8D188B8}" type="pres">
      <dgm:prSet presAssocID="{E2335C79-6CA3-4FE3-8B36-3A173BC032FB}" presName="hierChild4" presStyleCnt="0"/>
      <dgm:spPr>
        <a:solidFill>
          <a:srgbClr val="FFFFFF"/>
        </a:solidFill>
        <a:ln/>
      </dgm:spPr>
    </dgm:pt>
    <dgm:pt modelId="{E1295EFF-CCA9-4B47-B613-7B0FB1B47541}" type="pres">
      <dgm:prSet presAssocID="{E2335C79-6CA3-4FE3-8B36-3A173BC032FB}" presName="hierChild5" presStyleCnt="0"/>
      <dgm:spPr>
        <a:solidFill>
          <a:srgbClr val="FFFFFF"/>
        </a:solidFill>
        <a:ln/>
      </dgm:spPr>
    </dgm:pt>
    <dgm:pt modelId="{27099867-7908-4B7A-850F-8C1A1CFE1F17}" type="pres">
      <dgm:prSet presAssocID="{56F2F672-8257-4DD0-B532-A539D32CDF2C}" presName="hierChild5" presStyleCnt="0"/>
      <dgm:spPr>
        <a:solidFill>
          <a:srgbClr val="FFFFFF"/>
        </a:solidFill>
        <a:ln/>
      </dgm:spPr>
    </dgm:pt>
    <dgm:pt modelId="{497ABCE3-DEF1-4FA0-AF8F-C637BFF9F870}" type="pres">
      <dgm:prSet presAssocID="{1F3EF207-96BC-439F-B354-5C0429BA12E2}" presName="hierChild5" presStyleCnt="0"/>
      <dgm:spPr>
        <a:solidFill>
          <a:srgbClr val="FFFFFF"/>
        </a:solidFill>
        <a:ln/>
      </dgm:spPr>
    </dgm:pt>
    <dgm:pt modelId="{EB3F7E34-DD23-4826-8EDA-E7056A0042BF}" type="pres">
      <dgm:prSet presAssocID="{F344B9D8-781D-4A07-A786-D499D32FA79D}" presName="Name37" presStyleLbl="parChTrans1D2" presStyleIdx="4" presStyleCnt="8"/>
      <dgm:spPr/>
    </dgm:pt>
    <dgm:pt modelId="{D152A719-1460-4707-801D-527620DA09FD}" type="pres">
      <dgm:prSet presAssocID="{1134B3CD-1310-4A64-BD38-6693439FBFF9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45EC4F09-B906-4BC6-AFFE-17A47EE2944E}" type="pres">
      <dgm:prSet presAssocID="{1134B3CD-1310-4A64-BD38-6693439FBFF9}" presName="rootComposite" presStyleCnt="0"/>
      <dgm:spPr>
        <a:solidFill>
          <a:srgbClr val="FFFFFF"/>
        </a:solidFill>
        <a:ln/>
      </dgm:spPr>
    </dgm:pt>
    <dgm:pt modelId="{BDFA2BCB-8F7A-4F85-A55E-1F44F368380C}" type="pres">
      <dgm:prSet presAssocID="{1134B3CD-1310-4A64-BD38-6693439FBFF9}" presName="rootText" presStyleLbl="node1" presStyleIdx="9" presStyleCnt="15">
        <dgm:presLayoutVars>
          <dgm:chMax/>
          <dgm:chPref val="3"/>
        </dgm:presLayoutVars>
      </dgm:prSet>
      <dgm:spPr/>
    </dgm:pt>
    <dgm:pt modelId="{4B37AF9B-4D95-437E-8B07-071A94FF5771}" type="pres">
      <dgm:prSet presAssocID="{1134B3CD-1310-4A64-BD38-6693439FBFF9}" presName="titleText2" presStyleLbl="fgAcc1" presStyleIdx="9" presStyleCnt="15">
        <dgm:presLayoutVars>
          <dgm:chMax val="0"/>
          <dgm:chPref val="0"/>
        </dgm:presLayoutVars>
      </dgm:prSet>
      <dgm:spPr/>
    </dgm:pt>
    <dgm:pt modelId="{B634510A-7340-4ADF-816A-2D51A58568CA}" type="pres">
      <dgm:prSet presAssocID="{1134B3CD-1310-4A64-BD38-6693439FBFF9}" presName="rootConnector" presStyleLbl="node2" presStyleIdx="0" presStyleCnt="0"/>
      <dgm:spPr/>
    </dgm:pt>
    <dgm:pt modelId="{449CBFB8-FCBE-48DC-BF51-F540502A871F}" type="pres">
      <dgm:prSet presAssocID="{1134B3CD-1310-4A64-BD38-6693439FBFF9}" presName="hierChild4" presStyleCnt="0"/>
      <dgm:spPr>
        <a:solidFill>
          <a:srgbClr val="FFFFFF"/>
        </a:solidFill>
        <a:ln/>
      </dgm:spPr>
    </dgm:pt>
    <dgm:pt modelId="{5C528F1E-2938-451F-89C3-752CBB728523}" type="pres">
      <dgm:prSet presAssocID="{695F0873-CBC0-454F-8944-3A106034B97F}" presName="Name37" presStyleLbl="parChTrans1D3" presStyleIdx="4" presStyleCnt="6"/>
      <dgm:spPr/>
    </dgm:pt>
    <dgm:pt modelId="{3C4698FB-B84B-4005-BDE6-4FCCFE68CDC9}" type="pres">
      <dgm:prSet presAssocID="{91D86AF7-46FE-4DA4-84E9-2634BCE8CF9B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D74516D8-8FD4-45D0-AA86-2FACEE727743}" type="pres">
      <dgm:prSet presAssocID="{91D86AF7-46FE-4DA4-84E9-2634BCE8CF9B}" presName="rootComposite" presStyleCnt="0"/>
      <dgm:spPr>
        <a:solidFill>
          <a:srgbClr val="FFFFFF"/>
        </a:solidFill>
        <a:ln/>
      </dgm:spPr>
    </dgm:pt>
    <dgm:pt modelId="{2C34178F-A823-497F-816E-B83475D1C507}" type="pres">
      <dgm:prSet presAssocID="{91D86AF7-46FE-4DA4-84E9-2634BCE8CF9B}" presName="rootText" presStyleLbl="node1" presStyleIdx="10" presStyleCnt="15">
        <dgm:presLayoutVars>
          <dgm:chMax/>
          <dgm:chPref val="3"/>
        </dgm:presLayoutVars>
      </dgm:prSet>
      <dgm:spPr/>
    </dgm:pt>
    <dgm:pt modelId="{FC95823F-086E-4C7A-AAEE-7F55D34064BC}" type="pres">
      <dgm:prSet presAssocID="{91D86AF7-46FE-4DA4-84E9-2634BCE8CF9B}" presName="titleText2" presStyleLbl="fgAcc1" presStyleIdx="10" presStyleCnt="15">
        <dgm:presLayoutVars>
          <dgm:chMax val="0"/>
          <dgm:chPref val="0"/>
        </dgm:presLayoutVars>
      </dgm:prSet>
      <dgm:spPr/>
    </dgm:pt>
    <dgm:pt modelId="{A0CE2A9B-11AC-450F-BF5D-D563182787EB}" type="pres">
      <dgm:prSet presAssocID="{91D86AF7-46FE-4DA4-84E9-2634BCE8CF9B}" presName="rootConnector" presStyleLbl="node3" presStyleIdx="0" presStyleCnt="0"/>
      <dgm:spPr/>
    </dgm:pt>
    <dgm:pt modelId="{5B7C4A3A-ED18-439C-AE94-EAB4A635603D}" type="pres">
      <dgm:prSet presAssocID="{91D86AF7-46FE-4DA4-84E9-2634BCE8CF9B}" presName="hierChild4" presStyleCnt="0"/>
      <dgm:spPr>
        <a:solidFill>
          <a:srgbClr val="FFFFFF"/>
        </a:solidFill>
        <a:ln/>
      </dgm:spPr>
    </dgm:pt>
    <dgm:pt modelId="{8941EA5C-AA18-4A57-9717-CF31B51F23B2}" type="pres">
      <dgm:prSet presAssocID="{353E6219-FB72-4F2D-B70F-5D13A0D56EF7}" presName="Name37" presStyleLbl="parChTrans1D4" presStyleIdx="1" presStyleCnt="2"/>
      <dgm:spPr/>
    </dgm:pt>
    <dgm:pt modelId="{1E8CB73D-C1BC-4CA0-805E-F2C6D44D8056}" type="pres">
      <dgm:prSet presAssocID="{9E5A2DB3-BDF7-40CF-9EBA-D19F8F5EBFED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929AB87E-BD52-4FCC-842B-01F0D555AA70}" type="pres">
      <dgm:prSet presAssocID="{9E5A2DB3-BDF7-40CF-9EBA-D19F8F5EBFED}" presName="rootComposite" presStyleCnt="0"/>
      <dgm:spPr>
        <a:solidFill>
          <a:srgbClr val="FFFFFF"/>
        </a:solidFill>
        <a:ln/>
      </dgm:spPr>
    </dgm:pt>
    <dgm:pt modelId="{A95A908F-7A98-4DE1-BCCB-BFD2B34C4CCA}" type="pres">
      <dgm:prSet presAssocID="{9E5A2DB3-BDF7-40CF-9EBA-D19F8F5EBFED}" presName="rootText" presStyleLbl="node1" presStyleIdx="11" presStyleCnt="15">
        <dgm:presLayoutVars>
          <dgm:chMax/>
          <dgm:chPref val="3"/>
        </dgm:presLayoutVars>
      </dgm:prSet>
      <dgm:spPr/>
    </dgm:pt>
    <dgm:pt modelId="{744E103E-3E3D-479D-A78B-B066187063F8}" type="pres">
      <dgm:prSet presAssocID="{9E5A2DB3-BDF7-40CF-9EBA-D19F8F5EBFED}" presName="titleText2" presStyleLbl="fgAcc1" presStyleIdx="11" presStyleCnt="15">
        <dgm:presLayoutVars>
          <dgm:chMax val="0"/>
          <dgm:chPref val="0"/>
        </dgm:presLayoutVars>
      </dgm:prSet>
      <dgm:spPr/>
    </dgm:pt>
    <dgm:pt modelId="{18519413-5D15-4A6A-AF82-0F27A1425565}" type="pres">
      <dgm:prSet presAssocID="{9E5A2DB3-BDF7-40CF-9EBA-D19F8F5EBFED}" presName="rootConnector" presStyleLbl="node4" presStyleIdx="0" presStyleCnt="0"/>
      <dgm:spPr/>
    </dgm:pt>
    <dgm:pt modelId="{78CF0A1E-6878-48F0-ACAA-A16B2D75E0AB}" type="pres">
      <dgm:prSet presAssocID="{9E5A2DB3-BDF7-40CF-9EBA-D19F8F5EBFED}" presName="hierChild4" presStyleCnt="0"/>
      <dgm:spPr>
        <a:solidFill>
          <a:srgbClr val="FFFFFF"/>
        </a:solidFill>
        <a:ln/>
      </dgm:spPr>
    </dgm:pt>
    <dgm:pt modelId="{E22492DA-5A13-43BC-A228-CA3E7DD306FA}" type="pres">
      <dgm:prSet presAssocID="{9E5A2DB3-BDF7-40CF-9EBA-D19F8F5EBFED}" presName="hierChild5" presStyleCnt="0"/>
      <dgm:spPr>
        <a:solidFill>
          <a:srgbClr val="FFFFFF"/>
        </a:solidFill>
        <a:ln/>
      </dgm:spPr>
    </dgm:pt>
    <dgm:pt modelId="{15487231-C33F-4F4B-8F30-F19329B1AECD}" type="pres">
      <dgm:prSet presAssocID="{91D86AF7-46FE-4DA4-84E9-2634BCE8CF9B}" presName="hierChild5" presStyleCnt="0"/>
      <dgm:spPr>
        <a:solidFill>
          <a:srgbClr val="FFFFFF"/>
        </a:solidFill>
        <a:ln/>
      </dgm:spPr>
    </dgm:pt>
    <dgm:pt modelId="{85344FF6-E8C6-4A78-BB89-8632ABE765CF}" type="pres">
      <dgm:prSet presAssocID="{1134B3CD-1310-4A64-BD38-6693439FBFF9}" presName="hierChild5" presStyleCnt="0"/>
      <dgm:spPr>
        <a:solidFill>
          <a:srgbClr val="FFFFFF"/>
        </a:solidFill>
        <a:ln/>
      </dgm:spPr>
    </dgm:pt>
    <dgm:pt modelId="{4ADCCD72-2661-4AD3-B67A-961BF2CE624E}" type="pres">
      <dgm:prSet presAssocID="{20EAAC40-8793-46FF-9238-0258EB055E78}" presName="Name37" presStyleLbl="parChTrans1D2" presStyleIdx="5" presStyleCnt="8"/>
      <dgm:spPr/>
    </dgm:pt>
    <dgm:pt modelId="{CC4D6F1E-5416-4CC6-B0FE-2281FFB95B1B}" type="pres">
      <dgm:prSet presAssocID="{6318FD49-9ADD-450A-A340-4339A05A3E82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9AB57B5C-06FC-41D0-944F-5D3140D79DB8}" type="pres">
      <dgm:prSet presAssocID="{6318FD49-9ADD-450A-A340-4339A05A3E82}" presName="rootComposite" presStyleCnt="0"/>
      <dgm:spPr>
        <a:solidFill>
          <a:srgbClr val="FFFFFF"/>
        </a:solidFill>
        <a:ln/>
      </dgm:spPr>
    </dgm:pt>
    <dgm:pt modelId="{8170E46F-BCE3-4036-828D-266832036069}" type="pres">
      <dgm:prSet presAssocID="{6318FD49-9ADD-450A-A340-4339A05A3E82}" presName="rootText" presStyleLbl="node1" presStyleIdx="12" presStyleCnt="15">
        <dgm:presLayoutVars>
          <dgm:chMax/>
          <dgm:chPref val="3"/>
        </dgm:presLayoutVars>
      </dgm:prSet>
      <dgm:spPr/>
    </dgm:pt>
    <dgm:pt modelId="{889B1E2F-9703-4158-B093-6874AEA07EFA}" type="pres">
      <dgm:prSet presAssocID="{6318FD49-9ADD-450A-A340-4339A05A3E82}" presName="titleText2" presStyleLbl="fgAcc1" presStyleIdx="12" presStyleCnt="15">
        <dgm:presLayoutVars>
          <dgm:chMax val="0"/>
          <dgm:chPref val="0"/>
        </dgm:presLayoutVars>
      </dgm:prSet>
      <dgm:spPr/>
    </dgm:pt>
    <dgm:pt modelId="{6B82CF59-A566-4522-B0A2-0867B9BE381F}" type="pres">
      <dgm:prSet presAssocID="{6318FD49-9ADD-450A-A340-4339A05A3E82}" presName="rootConnector" presStyleLbl="node2" presStyleIdx="0" presStyleCnt="0"/>
      <dgm:spPr/>
    </dgm:pt>
    <dgm:pt modelId="{5698D71F-8543-4021-B08D-4A6D7EAEDAB0}" type="pres">
      <dgm:prSet presAssocID="{6318FD49-9ADD-450A-A340-4339A05A3E82}" presName="hierChild4" presStyleCnt="0"/>
      <dgm:spPr>
        <a:solidFill>
          <a:srgbClr val="FFFFFF"/>
        </a:solidFill>
        <a:ln/>
      </dgm:spPr>
    </dgm:pt>
    <dgm:pt modelId="{7A0F4696-F4EA-4602-8C20-5EDE054085B8}" type="pres">
      <dgm:prSet presAssocID="{0E81E497-CEF4-4ABA-A2A0-365D6B16FC62}" presName="Name37" presStyleLbl="parChTrans1D3" presStyleIdx="5" presStyleCnt="6"/>
      <dgm:spPr/>
    </dgm:pt>
    <dgm:pt modelId="{8B52343D-3D2D-4FC2-AAAC-2C6970ED2C3B}" type="pres">
      <dgm:prSet presAssocID="{FF9C932C-1D83-4C2E-A43D-B095FDC41117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927029EF-9B69-46F1-BACA-FD2AB5991DCB}" type="pres">
      <dgm:prSet presAssocID="{FF9C932C-1D83-4C2E-A43D-B095FDC41117}" presName="rootComposite" presStyleCnt="0"/>
      <dgm:spPr>
        <a:solidFill>
          <a:srgbClr val="FFFFFF"/>
        </a:solidFill>
        <a:ln/>
      </dgm:spPr>
    </dgm:pt>
    <dgm:pt modelId="{D5FDD2CF-3AAB-4494-9511-E558CB844196}" type="pres">
      <dgm:prSet presAssocID="{FF9C932C-1D83-4C2E-A43D-B095FDC41117}" presName="rootText" presStyleLbl="node1" presStyleIdx="13" presStyleCnt="15">
        <dgm:presLayoutVars>
          <dgm:chMax/>
          <dgm:chPref val="3"/>
        </dgm:presLayoutVars>
      </dgm:prSet>
      <dgm:spPr/>
    </dgm:pt>
    <dgm:pt modelId="{481D6A11-23FA-4EAC-BB79-20027AA24744}" type="pres">
      <dgm:prSet presAssocID="{FF9C932C-1D83-4C2E-A43D-B095FDC41117}" presName="titleText2" presStyleLbl="fgAcc1" presStyleIdx="13" presStyleCnt="15">
        <dgm:presLayoutVars>
          <dgm:chMax val="0"/>
          <dgm:chPref val="0"/>
        </dgm:presLayoutVars>
      </dgm:prSet>
      <dgm:spPr/>
    </dgm:pt>
    <dgm:pt modelId="{26D05CC9-7276-4A9F-BFC5-8402743B9C2B}" type="pres">
      <dgm:prSet presAssocID="{FF9C932C-1D83-4C2E-A43D-B095FDC41117}" presName="rootConnector" presStyleLbl="node3" presStyleIdx="0" presStyleCnt="0"/>
      <dgm:spPr/>
    </dgm:pt>
    <dgm:pt modelId="{33D5928B-303D-4A64-A8C4-EDE1D0EDB783}" type="pres">
      <dgm:prSet presAssocID="{FF9C932C-1D83-4C2E-A43D-B095FDC41117}" presName="hierChild4" presStyleCnt="0"/>
      <dgm:spPr>
        <a:solidFill>
          <a:srgbClr val="FFFFFF"/>
        </a:solidFill>
        <a:ln/>
      </dgm:spPr>
    </dgm:pt>
    <dgm:pt modelId="{0BED37E7-C1F8-4184-BC19-444971723164}" type="pres">
      <dgm:prSet presAssocID="{FF9C932C-1D83-4C2E-A43D-B095FDC41117}" presName="hierChild5" presStyleCnt="0"/>
      <dgm:spPr>
        <a:solidFill>
          <a:srgbClr val="FFFFFF"/>
        </a:solidFill>
        <a:ln/>
      </dgm:spPr>
    </dgm:pt>
    <dgm:pt modelId="{3B0716FC-FDB2-4D29-888A-AEB91051745A}" type="pres">
      <dgm:prSet presAssocID="{6318FD49-9ADD-450A-A340-4339A05A3E82}" presName="hierChild5" presStyleCnt="0"/>
      <dgm:spPr>
        <a:solidFill>
          <a:srgbClr val="FFFFFF"/>
        </a:solidFill>
        <a:ln/>
      </dgm:spPr>
    </dgm:pt>
    <dgm:pt modelId="{42ECE018-31A0-47F6-A353-CDCF2AF9FEA6}" type="pres">
      <dgm:prSet presAssocID="{0D19EB43-9C2F-4FFC-9A69-0F94225595B3}" presName="Name37" presStyleLbl="parChTrans1D2" presStyleIdx="6" presStyleCnt="8"/>
      <dgm:spPr/>
    </dgm:pt>
    <dgm:pt modelId="{49E3A701-34D8-4852-976B-E237D46BAE2F}" type="pres">
      <dgm:prSet presAssocID="{EF7A54AD-863E-41E0-9E7D-3B6F90EBAFC5}" presName="hierRoot2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0BF1F1E6-C946-45DC-B9B1-D96F78E51C3B}" type="pres">
      <dgm:prSet presAssocID="{EF7A54AD-863E-41E0-9E7D-3B6F90EBAFC5}" presName="rootComposite" presStyleCnt="0"/>
      <dgm:spPr>
        <a:solidFill>
          <a:srgbClr val="FFFFFF"/>
        </a:solidFill>
        <a:ln/>
      </dgm:spPr>
    </dgm:pt>
    <dgm:pt modelId="{20E28753-FF9C-4347-96BE-3E7E8CFD7E52}" type="pres">
      <dgm:prSet presAssocID="{EF7A54AD-863E-41E0-9E7D-3B6F90EBAFC5}" presName="rootText" presStyleLbl="node1" presStyleIdx="14" presStyleCnt="15">
        <dgm:presLayoutVars>
          <dgm:chMax/>
          <dgm:chPref val="3"/>
        </dgm:presLayoutVars>
      </dgm:prSet>
      <dgm:spPr/>
    </dgm:pt>
    <dgm:pt modelId="{29AB3DB3-5A65-4F42-857F-E63768FACFEA}" type="pres">
      <dgm:prSet presAssocID="{EF7A54AD-863E-41E0-9E7D-3B6F90EBAFC5}" presName="titleText2" presStyleLbl="fgAcc1" presStyleIdx="14" presStyleCnt="15">
        <dgm:presLayoutVars>
          <dgm:chMax val="0"/>
          <dgm:chPref val="0"/>
        </dgm:presLayoutVars>
      </dgm:prSet>
      <dgm:spPr/>
    </dgm:pt>
    <dgm:pt modelId="{AFB81404-0938-4818-8013-3060C088C2E6}" type="pres">
      <dgm:prSet presAssocID="{EF7A54AD-863E-41E0-9E7D-3B6F90EBAFC5}" presName="rootConnector" presStyleLbl="node2" presStyleIdx="0" presStyleCnt="0"/>
      <dgm:spPr/>
    </dgm:pt>
    <dgm:pt modelId="{F45AA827-1C23-407D-99D6-C98BEBECAEB9}" type="pres">
      <dgm:prSet presAssocID="{EF7A54AD-863E-41E0-9E7D-3B6F90EBAFC5}" presName="hierChild4" presStyleCnt="0"/>
      <dgm:spPr>
        <a:solidFill>
          <a:srgbClr val="FFFFFF"/>
        </a:solidFill>
        <a:ln/>
      </dgm:spPr>
    </dgm:pt>
    <dgm:pt modelId="{4FD04919-5E09-4432-A567-5097BA9347F9}" type="pres">
      <dgm:prSet presAssocID="{EF7A54AD-863E-41E0-9E7D-3B6F90EBAFC5}" presName="hierChild5" presStyleCnt="0"/>
      <dgm:spPr>
        <a:solidFill>
          <a:srgbClr val="FFFFFF"/>
        </a:solidFill>
        <a:ln/>
      </dgm:spPr>
    </dgm:pt>
    <dgm:pt modelId="{9734CA0D-296D-4ADE-BFF8-3BC2512A6C2E}" type="pres">
      <dgm:prSet presAssocID="{83A3FA17-95ED-4F0D-A97D-7950DFB05DC1}" presName="hierChild3" presStyleCnt="0"/>
      <dgm:spPr>
        <a:solidFill>
          <a:srgbClr val="FFFFFF"/>
        </a:solidFill>
        <a:ln/>
      </dgm:spPr>
    </dgm:pt>
    <dgm:pt modelId="{A6C5B26B-AAD4-4872-82E0-753746DFE58A}" type="pres">
      <dgm:prSet presAssocID="{49833B84-4139-471E-8D1E-A8B552373B49}" presName="Name96" presStyleLbl="parChTrans1D2" presStyleIdx="7" presStyleCnt="8"/>
      <dgm:spPr/>
    </dgm:pt>
    <dgm:pt modelId="{FD58FFA0-4F94-4A43-9A4A-334B0E0AEE6C}" type="pres">
      <dgm:prSet presAssocID="{D5A4B345-1C8D-45BE-A642-9501F3CC5C47}" presName="hierRoot3" presStyleCnt="0">
        <dgm:presLayoutVars>
          <dgm:hierBranch val="init"/>
        </dgm:presLayoutVars>
      </dgm:prSet>
      <dgm:spPr>
        <a:solidFill>
          <a:srgbClr val="FFFFFF"/>
        </a:solidFill>
        <a:ln/>
      </dgm:spPr>
    </dgm:pt>
    <dgm:pt modelId="{7AFBCB44-69D8-4275-81D0-6B2309D6BE61}" type="pres">
      <dgm:prSet presAssocID="{D5A4B345-1C8D-45BE-A642-9501F3CC5C47}" presName="rootComposite3" presStyleCnt="0"/>
      <dgm:spPr>
        <a:solidFill>
          <a:srgbClr val="FFFFFF"/>
        </a:solidFill>
        <a:ln/>
      </dgm:spPr>
    </dgm:pt>
    <dgm:pt modelId="{8AF30C38-C88B-402E-9466-BF85AB27006B}" type="pres">
      <dgm:prSet presAssocID="{D5A4B345-1C8D-45BE-A642-9501F3CC5C47}" presName="rootText3" presStyleLbl="asst1" presStyleIdx="0" presStyleCnt="1">
        <dgm:presLayoutVars>
          <dgm:chPref val="3"/>
        </dgm:presLayoutVars>
      </dgm:prSet>
      <dgm:spPr/>
    </dgm:pt>
    <dgm:pt modelId="{6F6AF58D-9666-4946-9AD4-F5B3C5B57750}" type="pres">
      <dgm:prSet presAssocID="{D5A4B345-1C8D-45BE-A642-9501F3CC5C47}" presName="titleText3" presStyleLbl="fgAcc2" presStyleIdx="0" presStyleCnt="1">
        <dgm:presLayoutVars>
          <dgm:chMax val="0"/>
          <dgm:chPref val="0"/>
        </dgm:presLayoutVars>
      </dgm:prSet>
      <dgm:spPr/>
    </dgm:pt>
    <dgm:pt modelId="{36AC7E4B-37B9-4B9C-9AAC-E59072462345}" type="pres">
      <dgm:prSet presAssocID="{D5A4B345-1C8D-45BE-A642-9501F3CC5C47}" presName="rootConnector3" presStyleLbl="asst1" presStyleIdx="0" presStyleCnt="1"/>
      <dgm:spPr/>
    </dgm:pt>
    <dgm:pt modelId="{49073617-5997-461D-80B9-94AF47CC3D43}" type="pres">
      <dgm:prSet presAssocID="{D5A4B345-1C8D-45BE-A642-9501F3CC5C47}" presName="hierChild6" presStyleCnt="0"/>
      <dgm:spPr>
        <a:solidFill>
          <a:srgbClr val="FFFFFF"/>
        </a:solidFill>
        <a:ln/>
      </dgm:spPr>
    </dgm:pt>
    <dgm:pt modelId="{B3E95858-B034-47BC-AB97-EF15BA3F5DDD}" type="pres">
      <dgm:prSet presAssocID="{D5A4B345-1C8D-45BE-A642-9501F3CC5C47}" presName="hierChild7" presStyleCnt="0"/>
      <dgm:spPr>
        <a:solidFill>
          <a:srgbClr val="FFFFFF"/>
        </a:solidFill>
        <a:ln/>
      </dgm:spPr>
    </dgm:pt>
  </dgm:ptLst>
  <dgm:cxnLst>
    <dgm:cxn modelId="{5288CD05-2ACF-49A1-BD68-8EF368D1C6D6}" type="presOf" srcId="{A72ADC86-4A48-4CC5-8D1D-7947D6029629}" destId="{FC95823F-086E-4C7A-AAEE-7F55D34064BC}" srcOrd="0" destOrd="0" presId="urn:microsoft.com/office/officeart/2008/layout/NameandTitleOrganizationalChart"/>
    <dgm:cxn modelId="{19F5BD07-EB47-4C5C-A397-330B321A79BB}" type="presOf" srcId="{D9A55289-F165-497A-976C-CA7DBAEB001E}" destId="{1EFCDA62-B55C-48A2-A24A-4E979D59439F}" srcOrd="0" destOrd="0" presId="urn:microsoft.com/office/officeart/2008/layout/NameandTitleOrganizationalChart"/>
    <dgm:cxn modelId="{1AAB3A0A-99EF-4358-B2C2-D34B31BF4E76}" type="presOf" srcId="{043CC744-49C5-4D10-830E-055C39544308}" destId="{73CC1ACA-707E-4683-A823-84E81D2E5DB5}" srcOrd="1" destOrd="0" presId="urn:microsoft.com/office/officeart/2008/layout/NameandTitleOrganizationalChart"/>
    <dgm:cxn modelId="{DCBA550B-00C7-49EA-9C04-ABD17C31ADA7}" type="presOf" srcId="{9E5A2DB3-BDF7-40CF-9EBA-D19F8F5EBFED}" destId="{18519413-5D15-4A6A-AF82-0F27A1425565}" srcOrd="1" destOrd="0" presId="urn:microsoft.com/office/officeart/2008/layout/NameandTitleOrganizationalChart"/>
    <dgm:cxn modelId="{21FADA0B-ADF1-4AB2-9CAC-6546B4DE6867}" type="presOf" srcId="{EFC37D2E-8779-41C8-8205-442ED6A5AFEA}" destId="{0E43B6FA-C70C-4A24-9663-3BE53A278CD5}" srcOrd="0" destOrd="0" presId="urn:microsoft.com/office/officeart/2008/layout/NameandTitleOrganizationalChart"/>
    <dgm:cxn modelId="{2F9E5F0C-40C2-414B-A609-285246B848F0}" type="presOf" srcId="{49833B84-4139-471E-8D1E-A8B552373B49}" destId="{A6C5B26B-AAD4-4872-82E0-753746DFE58A}" srcOrd="0" destOrd="0" presId="urn:microsoft.com/office/officeart/2008/layout/NameandTitleOrganizationalChart"/>
    <dgm:cxn modelId="{033D810C-6D94-44CF-90BA-561994754359}" type="presOf" srcId="{91D86AF7-46FE-4DA4-84E9-2634BCE8CF9B}" destId="{2C34178F-A823-497F-816E-B83475D1C507}" srcOrd="0" destOrd="0" presId="urn:microsoft.com/office/officeart/2008/layout/NameandTitleOrganizationalChart"/>
    <dgm:cxn modelId="{7F0B2711-3E44-4A5C-9844-563886F07E03}" type="presOf" srcId="{EF7A54AD-863E-41E0-9E7D-3B6F90EBAFC5}" destId="{AFB81404-0938-4818-8013-3060C088C2E6}" srcOrd="1" destOrd="0" presId="urn:microsoft.com/office/officeart/2008/layout/NameandTitleOrganizationalChart"/>
    <dgm:cxn modelId="{15AAA711-A1F0-40F9-A205-257FD0D80F5B}" srcId="{83A3FA17-95ED-4F0D-A97D-7950DFB05DC1}" destId="{F9898ECA-98AC-4592-8CE6-893C60E00A63}" srcOrd="3" destOrd="0" parTransId="{C56C83E1-C16E-4CE8-8141-BC98567EB9DE}" sibTransId="{5E5B9406-9EF6-41BF-A801-5F4AA856BBC4}"/>
    <dgm:cxn modelId="{0B0E3815-2901-4379-A6DE-C8A6460D3DB9}" type="presOf" srcId="{1134B3CD-1310-4A64-BD38-6693439FBFF9}" destId="{B634510A-7340-4ADF-816A-2D51A58568CA}" srcOrd="1" destOrd="0" presId="urn:microsoft.com/office/officeart/2008/layout/NameandTitleOrganizationalChart"/>
    <dgm:cxn modelId="{C92AC522-8C57-4B85-8897-62DDFBA94FB5}" type="presOf" srcId="{40629D31-FABC-405E-85B0-4E4B37DF193A}" destId="{3ED2ECC6-9528-46D8-8737-C9A686627788}" srcOrd="0" destOrd="0" presId="urn:microsoft.com/office/officeart/2008/layout/NameandTitleOrganizationalChart"/>
    <dgm:cxn modelId="{034CD024-6504-4B41-B1F1-B69829EC63EF}" type="presOf" srcId="{10C2808A-481C-4556-AEEC-4EBF3945225E}" destId="{889B1E2F-9703-4158-B093-6874AEA07EFA}" srcOrd="0" destOrd="0" presId="urn:microsoft.com/office/officeart/2008/layout/NameandTitleOrganizationalChart"/>
    <dgm:cxn modelId="{7C60DC24-2840-4810-A04A-5C6A6C9584D8}" type="presOf" srcId="{40DF8669-8BD1-431D-BE6A-E96FBF8768FA}" destId="{422C7A9E-2BB9-430B-9180-9F276C7D30B2}" srcOrd="0" destOrd="0" presId="urn:microsoft.com/office/officeart/2008/layout/NameandTitleOrganizationalChart"/>
    <dgm:cxn modelId="{82B78B26-0295-44E5-AEA8-F0919E3E9E4B}" type="presOf" srcId="{20EAAC40-8793-46FF-9238-0258EB055E78}" destId="{4ADCCD72-2661-4AD3-B67A-961BF2CE624E}" srcOrd="0" destOrd="0" presId="urn:microsoft.com/office/officeart/2008/layout/NameandTitleOrganizationalChart"/>
    <dgm:cxn modelId="{6A5D9829-02DE-4DCC-B283-EE8EC03C54DB}" srcId="{83A3FA17-95ED-4F0D-A97D-7950DFB05DC1}" destId="{043CC744-49C5-4D10-830E-055C39544308}" srcOrd="1" destOrd="0" parTransId="{833D7868-4283-433E-B6E5-56E0ADB0909A}" sibTransId="{57BE5A1D-D3D6-40F9-AE7F-9B1D792699D7}"/>
    <dgm:cxn modelId="{955FFE2C-1DC5-484D-9C6B-21CA7E08908E}" type="presOf" srcId="{BA790B04-92D5-4F53-9A6E-B254E6232BB4}" destId="{BCD4D81B-5F9D-4DDA-B8E9-AC375FF09135}" srcOrd="0" destOrd="0" presId="urn:microsoft.com/office/officeart/2008/layout/NameandTitleOrganizationalChart"/>
    <dgm:cxn modelId="{617E342D-279F-442E-AE87-D998FFD70174}" srcId="{6318FD49-9ADD-450A-A340-4339A05A3E82}" destId="{FF9C932C-1D83-4C2E-A43D-B095FDC41117}" srcOrd="0" destOrd="0" parTransId="{0E81E497-CEF4-4ABA-A2A0-365D6B16FC62}" sibTransId="{1367C881-0C5C-4937-A2DA-698F167188CA}"/>
    <dgm:cxn modelId="{85498D2F-0341-4065-833B-306F31640523}" type="presOf" srcId="{351A7852-6928-4AE2-AD3E-2BC3D75D3EB0}" destId="{29AB3DB3-5A65-4F42-857F-E63768FACFEA}" srcOrd="0" destOrd="0" presId="urn:microsoft.com/office/officeart/2008/layout/NameandTitleOrganizationalChart"/>
    <dgm:cxn modelId="{D6184E31-ADE2-4854-8EE3-D119953AF20C}" type="presOf" srcId="{833D7868-4283-433E-B6E5-56E0ADB0909A}" destId="{5FD2AD9F-0131-4DE1-8CC2-661821368079}" srcOrd="0" destOrd="0" presId="urn:microsoft.com/office/officeart/2008/layout/NameandTitleOrganizationalChart"/>
    <dgm:cxn modelId="{CFD4C731-7102-4998-97D6-B108F56FB761}" type="presOf" srcId="{D5A4B345-1C8D-45BE-A642-9501F3CC5C47}" destId="{8AF30C38-C88B-402E-9466-BF85AB27006B}" srcOrd="0" destOrd="0" presId="urn:microsoft.com/office/officeart/2008/layout/NameandTitleOrganizationalChart"/>
    <dgm:cxn modelId="{59814F32-DD46-461C-833E-2CFA9193822C}" type="presOf" srcId="{71A91012-41BC-4FFB-BB46-B3D9F35DBCB7}" destId="{744E103E-3E3D-479D-A78B-B066187063F8}" srcOrd="0" destOrd="0" presId="urn:microsoft.com/office/officeart/2008/layout/NameandTitleOrganizationalChart"/>
    <dgm:cxn modelId="{9B37AC32-DBD9-42C8-BCD4-298385759447}" type="presOf" srcId="{F9898ECA-98AC-4592-8CE6-893C60E00A63}" destId="{4C686AA8-23C1-48AA-A863-CFEB4C692EEF}" srcOrd="0" destOrd="0" presId="urn:microsoft.com/office/officeart/2008/layout/NameandTitleOrganizationalChart"/>
    <dgm:cxn modelId="{BD8D4D33-5F96-4448-A9DA-9C27DA368DE3}" srcId="{181EDC9F-71C9-4469-B41D-D39F1E42795E}" destId="{83A3FA17-95ED-4F0D-A97D-7950DFB05DC1}" srcOrd="0" destOrd="0" parTransId="{E3E6AF76-0B1A-46E1-9362-DD8EB9BD1AFE}" sibTransId="{24F4604D-A6CC-4092-BBBB-9EE2337A674D}"/>
    <dgm:cxn modelId="{AAF35637-4F20-4E23-AAE7-C923F33F220D}" type="presOf" srcId="{0E81E497-CEF4-4ABA-A2A0-365D6B16FC62}" destId="{7A0F4696-F4EA-4602-8C20-5EDE054085B8}" srcOrd="0" destOrd="0" presId="urn:microsoft.com/office/officeart/2008/layout/NameandTitleOrganizationalChart"/>
    <dgm:cxn modelId="{D4AF7737-1D6D-45EE-99F3-59DE68369219}" type="presOf" srcId="{5E5B9406-9EF6-41BF-A801-5F4AA856BBC4}" destId="{B45007D9-1991-4640-8BBB-A0F6637130C7}" srcOrd="0" destOrd="0" presId="urn:microsoft.com/office/officeart/2008/layout/NameandTitleOrganizationalChart"/>
    <dgm:cxn modelId="{9580D538-F979-4917-98B4-806B99E94B92}" type="presOf" srcId="{D5A4B345-1C8D-45BE-A642-9501F3CC5C47}" destId="{36AC7E4B-37B9-4B9C-9AAC-E59072462345}" srcOrd="1" destOrd="0" presId="urn:microsoft.com/office/officeart/2008/layout/NameandTitleOrganizationalChart"/>
    <dgm:cxn modelId="{5B780A3A-DCBD-4455-9861-1598DD557932}" type="presOf" srcId="{C56C83E1-C16E-4CE8-8141-BC98567EB9DE}" destId="{FD1A75D6-8A91-4383-BB87-33DF94CFDC69}" srcOrd="0" destOrd="0" presId="urn:microsoft.com/office/officeart/2008/layout/NameandTitleOrganizationalChart"/>
    <dgm:cxn modelId="{C8D60A5C-BC9D-4344-B3E8-85D1589F92B8}" type="presOf" srcId="{40DF8669-8BD1-431D-BE6A-E96FBF8768FA}" destId="{DC406775-C64A-421F-A44E-ECD917245087}" srcOrd="1" destOrd="0" presId="urn:microsoft.com/office/officeart/2008/layout/NameandTitleOrganizationalChart"/>
    <dgm:cxn modelId="{9F3C6341-86BB-4F4F-927A-B734BE0E186E}" type="presOf" srcId="{CAC5A395-0D2E-47C7-8D23-D2A1BD11E9CD}" destId="{5465DF4B-A883-464D-B11E-8D07498434E3}" srcOrd="0" destOrd="0" presId="urn:microsoft.com/office/officeart/2008/layout/NameandTitleOrganizationalChart"/>
    <dgm:cxn modelId="{6933DE61-05D1-4277-BC18-B2175BFF388F}" type="presOf" srcId="{ED1D670F-C560-4796-9DD8-203C69265B71}" destId="{910AB606-0FED-4F6E-ACD9-B25891BFD064}" srcOrd="0" destOrd="0" presId="urn:microsoft.com/office/officeart/2008/layout/NameandTitleOrganizationalChart"/>
    <dgm:cxn modelId="{36B07542-348E-4AE3-BB53-E568CE25A5E3}" type="presOf" srcId="{D3012AB6-70CD-4ABF-AB29-C3CFB3200F0B}" destId="{DD97DE8F-A9E5-48BB-BA99-16BD5C1FCECF}" srcOrd="1" destOrd="0" presId="urn:microsoft.com/office/officeart/2008/layout/NameandTitleOrganizationalChart"/>
    <dgm:cxn modelId="{13CFEB63-7A24-44F5-8055-30C6A329C0C3}" srcId="{1134B3CD-1310-4A64-BD38-6693439FBFF9}" destId="{91D86AF7-46FE-4DA4-84E9-2634BCE8CF9B}" srcOrd="0" destOrd="0" parTransId="{695F0873-CBC0-454F-8944-3A106034B97F}" sibTransId="{A72ADC86-4A48-4CC5-8D1D-7947D6029629}"/>
    <dgm:cxn modelId="{4DF12A64-FF77-4D27-8F29-47260AFA7413}" type="presOf" srcId="{B18E1C8C-2F02-4E69-9D6C-6AFFE5465792}" destId="{4989D0DD-E81E-4140-B584-B6863E1673F4}" srcOrd="0" destOrd="0" presId="urn:microsoft.com/office/officeart/2008/layout/NameandTitleOrganizationalChart"/>
    <dgm:cxn modelId="{81CBEC44-F010-49F5-9995-6B116019E6BB}" type="presOf" srcId="{FF9C932C-1D83-4C2E-A43D-B095FDC41117}" destId="{D5FDD2CF-3AAB-4494-9511-E558CB844196}" srcOrd="0" destOrd="0" presId="urn:microsoft.com/office/officeart/2008/layout/NameandTitleOrganizationalChart"/>
    <dgm:cxn modelId="{734BE26A-7497-4F17-BD44-B0331C2EAD47}" srcId="{83A3FA17-95ED-4F0D-A97D-7950DFB05DC1}" destId="{1F3EF207-96BC-439F-B354-5C0429BA12E2}" srcOrd="4" destOrd="0" parTransId="{40629D31-FABC-405E-85B0-4E4B37DF193A}" sibTransId="{C2C95458-0B2A-4683-98D5-C2715DB29987}"/>
    <dgm:cxn modelId="{D1AA604B-D876-458C-A08C-C6CC4CFE5CAC}" srcId="{F9898ECA-98AC-4592-8CE6-893C60E00A63}" destId="{40DF8669-8BD1-431D-BE6A-E96FBF8768FA}" srcOrd="0" destOrd="0" parTransId="{8C35852E-B6C3-41F0-8C7D-C3E9526CFC32}" sibTransId="{19A80517-36E2-43A7-AD4D-154DE2F5293C}"/>
    <dgm:cxn modelId="{D37B696B-B39E-4637-80E7-017480836945}" type="presOf" srcId="{24F4604D-A6CC-4092-BBBB-9EE2337A674D}" destId="{07ECEEB5-041B-40F7-877E-856026647631}" srcOrd="0" destOrd="0" presId="urn:microsoft.com/office/officeart/2008/layout/NameandTitleOrganizationalChart"/>
    <dgm:cxn modelId="{E0BF994C-E6E1-4DCC-91EC-E5A3CFFD5081}" type="presOf" srcId="{91D86AF7-46FE-4DA4-84E9-2634BCE8CF9B}" destId="{A0CE2A9B-11AC-450F-BF5D-D563182787EB}" srcOrd="1" destOrd="0" presId="urn:microsoft.com/office/officeart/2008/layout/NameandTitleOrganizationalChart"/>
    <dgm:cxn modelId="{A6F5BC4C-0F4E-429C-98EA-F40CB7708349}" srcId="{83A3FA17-95ED-4F0D-A97D-7950DFB05DC1}" destId="{D5A4B345-1C8D-45BE-A642-9501F3CC5C47}" srcOrd="0" destOrd="0" parTransId="{49833B84-4139-471E-8D1E-A8B552373B49}" sibTransId="{32693342-B96C-4722-9A19-8EA2354B3A7F}"/>
    <dgm:cxn modelId="{41C1C64C-5376-4F61-B4CB-336CF149E7C2}" srcId="{1F3EF207-96BC-439F-B354-5C0429BA12E2}" destId="{56F2F672-8257-4DD0-B532-A539D32CDF2C}" srcOrd="0" destOrd="0" parTransId="{ED1D670F-C560-4796-9DD8-203C69265B71}" sibTransId="{CAC5A395-0D2E-47C7-8D23-D2A1BD11E9CD}"/>
    <dgm:cxn modelId="{83B9DC6C-1EC2-48BD-B114-570D63206F8D}" type="presOf" srcId="{1367C881-0C5C-4937-A2DA-698F167188CA}" destId="{481D6A11-23FA-4EAC-BB79-20027AA24744}" srcOrd="0" destOrd="0" presId="urn:microsoft.com/office/officeart/2008/layout/NameandTitleOrganizationalChart"/>
    <dgm:cxn modelId="{6209144D-7DA0-4858-9BD2-3F414949F61E}" type="presOf" srcId="{F344B9D8-781D-4A07-A786-D499D32FA79D}" destId="{EB3F7E34-DD23-4826-8EDA-E7056A0042BF}" srcOrd="0" destOrd="0" presId="urn:microsoft.com/office/officeart/2008/layout/NameandTitleOrganizationalChart"/>
    <dgm:cxn modelId="{D105E470-3188-4E1A-B563-FD71DCECAAA7}" type="presOf" srcId="{C708C4F7-ECF7-4227-A098-4C116720253E}" destId="{4B37AF9B-4D95-437E-8B07-071A94FF5771}" srcOrd="0" destOrd="0" presId="urn:microsoft.com/office/officeart/2008/layout/NameandTitleOrganizationalChart"/>
    <dgm:cxn modelId="{B5FAEE72-472A-46EB-9B8B-2747260D3BAB}" type="presOf" srcId="{56F2F672-8257-4DD0-B532-A539D32CDF2C}" destId="{878415FD-E9F7-45B8-984D-E8F235A53BFE}" srcOrd="0" destOrd="0" presId="urn:microsoft.com/office/officeart/2008/layout/NameandTitleOrganizationalChart"/>
    <dgm:cxn modelId="{DAE15453-E230-4B78-8C2D-8E26F4CC12A5}" type="presOf" srcId="{B18E1C8C-2F02-4E69-9D6C-6AFFE5465792}" destId="{18C4030D-0048-4C2D-9EA4-511C0507C912}" srcOrd="1" destOrd="0" presId="urn:microsoft.com/office/officeart/2008/layout/NameandTitleOrganizationalChart"/>
    <dgm:cxn modelId="{3914D274-CD3B-4204-AAA8-A42D0603E4B5}" type="presOf" srcId="{EF7A54AD-863E-41E0-9E7D-3B6F90EBAFC5}" destId="{20E28753-FF9C-4347-96BE-3E7E8CFD7E52}" srcOrd="0" destOrd="0" presId="urn:microsoft.com/office/officeart/2008/layout/NameandTitleOrganizationalChart"/>
    <dgm:cxn modelId="{240BF475-8837-4D64-A156-86ACD11659E1}" type="presOf" srcId="{5AAC3267-EC69-47E2-84B8-D9EA13040A7D}" destId="{364877F1-A5C1-4B2F-A374-28E41C8C77D0}" srcOrd="0" destOrd="0" presId="urn:microsoft.com/office/officeart/2008/layout/NameandTitleOrganizationalChart"/>
    <dgm:cxn modelId="{39907676-AF09-4DCD-B877-8251D1D152F0}" type="presOf" srcId="{F9898ECA-98AC-4592-8CE6-893C60E00A63}" destId="{B43589E3-40CB-49F7-9DBC-D6D21E7895EA}" srcOrd="1" destOrd="0" presId="urn:microsoft.com/office/officeart/2008/layout/NameandTitleOrganizationalChart"/>
    <dgm:cxn modelId="{988FC059-09F0-4C5F-AE94-5668F85A0F9D}" type="presOf" srcId="{F3FA14F8-DCE8-4DEB-8EC2-5790C32F36E4}" destId="{E2B6B6E7-F140-4C70-A1FE-60635A4D942A}" srcOrd="0" destOrd="0" presId="urn:microsoft.com/office/officeart/2008/layout/NameandTitleOrganizationalChart"/>
    <dgm:cxn modelId="{EEB0F07C-0D76-4C17-8512-71CCC0AC1225}" type="presOf" srcId="{7563117A-7AAE-4611-A3AD-2E11F9226891}" destId="{8A100DDD-6AFE-43C4-9791-2D703994052A}" srcOrd="0" destOrd="0" presId="urn:microsoft.com/office/officeart/2008/layout/NameandTitleOrganizationalChart"/>
    <dgm:cxn modelId="{6A91D183-C6B4-4569-B25A-3184BE89BB60}" type="presOf" srcId="{6318FD49-9ADD-450A-A340-4339A05A3E82}" destId="{6B82CF59-A566-4522-B0A2-0867B9BE381F}" srcOrd="1" destOrd="0" presId="urn:microsoft.com/office/officeart/2008/layout/NameandTitleOrganizationalChart"/>
    <dgm:cxn modelId="{104FCB8C-77C1-4C46-9D6B-5751BD905B87}" type="presOf" srcId="{57BE5A1D-D3D6-40F9-AE7F-9B1D792699D7}" destId="{8FA26709-29AA-4753-A84E-9F44F2FD7FAB}" srcOrd="0" destOrd="0" presId="urn:microsoft.com/office/officeart/2008/layout/NameandTitleOrganizationalChart"/>
    <dgm:cxn modelId="{C798118E-AD60-4BBF-801A-61150F6E2EBF}" type="presOf" srcId="{8C35852E-B6C3-41F0-8C7D-C3E9526CFC32}" destId="{DCCF2C40-838D-439F-B1B0-E209FA11A2E5}" srcOrd="0" destOrd="0" presId="urn:microsoft.com/office/officeart/2008/layout/NameandTitleOrganizationalChart"/>
    <dgm:cxn modelId="{67A3AB8F-D7C9-45B6-9E5F-99528B5146EF}" type="presOf" srcId="{FF9C932C-1D83-4C2E-A43D-B095FDC41117}" destId="{26D05CC9-7276-4A9F-BFC5-8402743B9C2B}" srcOrd="1" destOrd="0" presId="urn:microsoft.com/office/officeart/2008/layout/NameandTitleOrganizationalChart"/>
    <dgm:cxn modelId="{FFBDAC8F-5049-45CD-B574-04F1B25FE740}" type="presOf" srcId="{E2335C79-6CA3-4FE3-8B36-3A173BC032FB}" destId="{7F26CDAA-A2DD-4B02-9000-6FE138CC6036}" srcOrd="0" destOrd="0" presId="urn:microsoft.com/office/officeart/2008/layout/NameandTitleOrganizationalChart"/>
    <dgm:cxn modelId="{082C0E93-ECAF-4CEF-A538-29D6F3DE0311}" type="presOf" srcId="{E2335C79-6CA3-4FE3-8B36-3A173BC032FB}" destId="{86616D80-3E5C-422B-B641-3E4725C99DC9}" srcOrd="1" destOrd="0" presId="urn:microsoft.com/office/officeart/2008/layout/NameandTitleOrganizationalChart"/>
    <dgm:cxn modelId="{6418F295-1EAC-4F9A-8033-D9D9DCAB9245}" type="presOf" srcId="{5BEF9848-AE88-44E8-9C9E-BEEBC159ED7F}" destId="{7EDABBF6-94F6-4F1A-BCE4-67BE1B87A914}" srcOrd="0" destOrd="0" presId="urn:microsoft.com/office/officeart/2008/layout/NameandTitleOrganizationalChart"/>
    <dgm:cxn modelId="{021A9196-0B14-49F3-BEA3-9B70E8B2BF86}" type="presOf" srcId="{0D19EB43-9C2F-4FFC-9A69-0F94225595B3}" destId="{42ECE018-31A0-47F6-A353-CDCF2AF9FEA6}" srcOrd="0" destOrd="0" presId="urn:microsoft.com/office/officeart/2008/layout/NameandTitleOrganizationalChart"/>
    <dgm:cxn modelId="{8CF78299-C9F6-48C9-8C4B-FABD8BBC424E}" type="presOf" srcId="{9E5A2DB3-BDF7-40CF-9EBA-D19F8F5EBFED}" destId="{A95A908F-7A98-4DE1-BCCB-BFD2B34C4CCA}" srcOrd="0" destOrd="0" presId="urn:microsoft.com/office/officeart/2008/layout/NameandTitleOrganizationalChart"/>
    <dgm:cxn modelId="{4142879E-4027-431E-AAC5-2A77421EF14C}" srcId="{56F2F672-8257-4DD0-B532-A539D32CDF2C}" destId="{E2335C79-6CA3-4FE3-8B36-3A173BC032FB}" srcOrd="0" destOrd="0" parTransId="{EFC37D2E-8779-41C8-8205-442ED6A5AFEA}" sibTransId="{BA790B04-92D5-4F53-9A6E-B254E6232BB4}"/>
    <dgm:cxn modelId="{E9FDB3A2-F817-4C54-B4E9-F9BF67AC7358}" type="presOf" srcId="{695F0873-CBC0-454F-8944-3A106034B97F}" destId="{5C528F1E-2938-451F-89C3-752CBB728523}" srcOrd="0" destOrd="0" presId="urn:microsoft.com/office/officeart/2008/layout/NameandTitleOrganizationalChart"/>
    <dgm:cxn modelId="{28061DA6-FC85-4329-9AE0-E3530476B0F5}" type="presOf" srcId="{043CC744-49C5-4D10-830E-055C39544308}" destId="{6131A3ED-5D65-45D8-A611-89974AF80D08}" srcOrd="0" destOrd="0" presId="urn:microsoft.com/office/officeart/2008/layout/NameandTitleOrganizationalChart"/>
    <dgm:cxn modelId="{50A734A6-2456-41A4-AFE2-D2F9124B13A1}" type="presOf" srcId="{181EDC9F-71C9-4469-B41D-D39F1E42795E}" destId="{4868EFF8-94AB-41D4-A454-B25911E5DDDC}" srcOrd="0" destOrd="0" presId="urn:microsoft.com/office/officeart/2008/layout/NameandTitleOrganizationalChart"/>
    <dgm:cxn modelId="{9B3572A6-3ECA-4FE0-B1D2-A3CCB1D15800}" type="presOf" srcId="{D3012AB6-70CD-4ABF-AB29-C3CFB3200F0B}" destId="{40DA7A7D-98C5-4EC9-9199-AB3AA309F4FD}" srcOrd="0" destOrd="0" presId="urn:microsoft.com/office/officeart/2008/layout/NameandTitleOrganizationalChart"/>
    <dgm:cxn modelId="{A742F5AA-D8C2-44CB-B191-2CBE7BF01093}" srcId="{043CC744-49C5-4D10-830E-055C39544308}" destId="{5BEF9848-AE88-44E8-9C9E-BEEBC159ED7F}" srcOrd="0" destOrd="0" parTransId="{5AAC3267-EC69-47E2-84B8-D9EA13040A7D}" sibTransId="{5F28934F-69FE-4D7E-9123-3504CB7A3A1A}"/>
    <dgm:cxn modelId="{4AE78EAE-0258-4891-B21A-11FB7D322F66}" type="presOf" srcId="{C2C95458-0B2A-4683-98D5-C2715DB29987}" destId="{8A08EC9D-2A4C-4F24-AA5A-0F7CB5F96DB5}" srcOrd="0" destOrd="0" presId="urn:microsoft.com/office/officeart/2008/layout/NameandTitleOrganizationalChart"/>
    <dgm:cxn modelId="{B340FFB5-5A89-407A-8342-519E0761AF5C}" type="presOf" srcId="{83A3FA17-95ED-4F0D-A97D-7950DFB05DC1}" destId="{335C57EF-08A8-47D7-B8A3-4C5357C4CEE3}" srcOrd="0" destOrd="0" presId="urn:microsoft.com/office/officeart/2008/layout/NameandTitleOrganizationalChart"/>
    <dgm:cxn modelId="{A48B35B6-5921-4E53-9A14-4375B0D14ADA}" type="presOf" srcId="{5F28934F-69FE-4D7E-9123-3504CB7A3A1A}" destId="{A1A2A2E6-C24A-464B-A2C4-D3ED4F8F2630}" srcOrd="0" destOrd="0" presId="urn:microsoft.com/office/officeart/2008/layout/NameandTitleOrganizationalChart"/>
    <dgm:cxn modelId="{8C23D6BD-A583-485E-B9EB-74AE2A811501}" type="presOf" srcId="{6318FD49-9ADD-450A-A340-4339A05A3E82}" destId="{8170E46F-BCE3-4036-828D-266832036069}" srcOrd="0" destOrd="0" presId="urn:microsoft.com/office/officeart/2008/layout/NameandTitleOrganizationalChart"/>
    <dgm:cxn modelId="{A493CEC4-5DC4-46F2-B366-D03170766D82}" srcId="{83A3FA17-95ED-4F0D-A97D-7950DFB05DC1}" destId="{1134B3CD-1310-4A64-BD38-6693439FBFF9}" srcOrd="5" destOrd="0" parTransId="{F344B9D8-781D-4A07-A786-D499D32FA79D}" sibTransId="{C708C4F7-ECF7-4227-A098-4C116720253E}"/>
    <dgm:cxn modelId="{598B78C7-4A9F-4827-B279-B954ECFCD2D8}" srcId="{F9898ECA-98AC-4592-8CE6-893C60E00A63}" destId="{D3012AB6-70CD-4ABF-AB29-C3CFB3200F0B}" srcOrd="1" destOrd="0" parTransId="{D9A55289-F165-497A-976C-CA7DBAEB001E}" sibTransId="{698A8C00-BFD5-48DE-ABA3-AAEC98016C82}"/>
    <dgm:cxn modelId="{D128ECC9-3A29-40AD-BB71-473104C330F8}" type="presOf" srcId="{83A3FA17-95ED-4F0D-A97D-7950DFB05DC1}" destId="{F2451B13-D03D-464E-9055-B5FD923D7719}" srcOrd="1" destOrd="0" presId="urn:microsoft.com/office/officeart/2008/layout/NameandTitleOrganizationalChart"/>
    <dgm:cxn modelId="{DAC05BD2-3C72-4378-AE00-CCD3F4F148B4}" type="presOf" srcId="{56F2F672-8257-4DD0-B532-A539D32CDF2C}" destId="{179BB237-1CFB-490B-924A-A7595CB6A146}" srcOrd="1" destOrd="0" presId="urn:microsoft.com/office/officeart/2008/layout/NameandTitleOrganizationalChart"/>
    <dgm:cxn modelId="{BA922BD9-E129-4B4E-BDC2-C30545B43BD6}" srcId="{91D86AF7-46FE-4DA4-84E9-2634BCE8CF9B}" destId="{9E5A2DB3-BDF7-40CF-9EBA-D19F8F5EBFED}" srcOrd="0" destOrd="0" parTransId="{353E6219-FB72-4F2D-B70F-5D13A0D56EF7}" sibTransId="{71A91012-41BC-4FFB-BB46-B3D9F35DBCB7}"/>
    <dgm:cxn modelId="{BCEAE7E2-5231-4337-9331-F9C7C95A63C5}" type="presOf" srcId="{1F3EF207-96BC-439F-B354-5C0429BA12E2}" destId="{C0D8B78A-41A9-4B9B-A35C-24FCD2A6A4F9}" srcOrd="0" destOrd="0" presId="urn:microsoft.com/office/officeart/2008/layout/NameandTitleOrganizationalChart"/>
    <dgm:cxn modelId="{56B663E3-6903-4983-91B7-99A99E8A3C8C}" srcId="{83A3FA17-95ED-4F0D-A97D-7950DFB05DC1}" destId="{EF7A54AD-863E-41E0-9E7D-3B6F90EBAFC5}" srcOrd="7" destOrd="0" parTransId="{0D19EB43-9C2F-4FFC-9A69-0F94225595B3}" sibTransId="{351A7852-6928-4AE2-AD3E-2BC3D75D3EB0}"/>
    <dgm:cxn modelId="{1B9D94EA-1185-4ED9-AE12-9225C94FB9B5}" type="presOf" srcId="{19A80517-36E2-43A7-AD4D-154DE2F5293C}" destId="{F606E186-6D3F-4D50-BBC2-00915BD122EA}" srcOrd="0" destOrd="0" presId="urn:microsoft.com/office/officeart/2008/layout/NameandTitleOrganizationalChart"/>
    <dgm:cxn modelId="{830FDEEA-0672-4D68-9606-CBD4C93855DD}" srcId="{83A3FA17-95ED-4F0D-A97D-7950DFB05DC1}" destId="{6318FD49-9ADD-450A-A340-4339A05A3E82}" srcOrd="6" destOrd="0" parTransId="{20EAAC40-8793-46FF-9238-0258EB055E78}" sibTransId="{10C2808A-481C-4556-AEEC-4EBF3945225E}"/>
    <dgm:cxn modelId="{6900E1EC-D62A-4C7F-922B-72E6CE8D4F84}" type="presOf" srcId="{1134B3CD-1310-4A64-BD38-6693439FBFF9}" destId="{BDFA2BCB-8F7A-4F85-A55E-1F44F368380C}" srcOrd="0" destOrd="0" presId="urn:microsoft.com/office/officeart/2008/layout/NameandTitleOrganizationalChart"/>
    <dgm:cxn modelId="{D1DA32ED-DB7E-438E-B80A-C2A787CFCD5E}" type="presOf" srcId="{353E6219-FB72-4F2D-B70F-5D13A0D56EF7}" destId="{8941EA5C-AA18-4A57-9717-CF31B51F23B2}" srcOrd="0" destOrd="0" presId="urn:microsoft.com/office/officeart/2008/layout/NameandTitleOrganizationalChart"/>
    <dgm:cxn modelId="{99D469F0-3FE9-43B1-BD5F-C0D08324A56B}" srcId="{83A3FA17-95ED-4F0D-A97D-7950DFB05DC1}" destId="{B18E1C8C-2F02-4E69-9D6C-6AFFE5465792}" srcOrd="2" destOrd="0" parTransId="{F3FA14F8-DCE8-4DEB-8EC2-5790C32F36E4}" sibTransId="{7563117A-7AAE-4611-A3AD-2E11F9226891}"/>
    <dgm:cxn modelId="{CDA31EF3-C48B-4C50-A963-319F9826FC6C}" type="presOf" srcId="{5BEF9848-AE88-44E8-9C9E-BEEBC159ED7F}" destId="{EB089105-649E-4D85-9027-9173A0586BE0}" srcOrd="1" destOrd="0" presId="urn:microsoft.com/office/officeart/2008/layout/NameandTitleOrganizationalChart"/>
    <dgm:cxn modelId="{05E824FA-0DC2-4D3F-A559-A5DAAB7991C5}" type="presOf" srcId="{698A8C00-BFD5-48DE-ABA3-AAEC98016C82}" destId="{25533EBF-73F3-4CAA-A59A-48DD84DE108D}" srcOrd="0" destOrd="0" presId="urn:microsoft.com/office/officeart/2008/layout/NameandTitleOrganizationalChart"/>
    <dgm:cxn modelId="{E37E01FF-B796-4CD7-845E-F627A23F5FAB}" type="presOf" srcId="{32693342-B96C-4722-9A19-8EA2354B3A7F}" destId="{6F6AF58D-9666-4946-9AD4-F5B3C5B57750}" srcOrd="0" destOrd="0" presId="urn:microsoft.com/office/officeart/2008/layout/NameandTitleOrganizationalChart"/>
    <dgm:cxn modelId="{0E723FFF-4056-405B-8FA1-31429BCF446A}" type="presOf" srcId="{1F3EF207-96BC-439F-B354-5C0429BA12E2}" destId="{F35E1D16-3B27-4DE1-9828-797010687FE8}" srcOrd="1" destOrd="0" presId="urn:microsoft.com/office/officeart/2008/layout/NameandTitleOrganizationalChart"/>
    <dgm:cxn modelId="{CEDA1B0C-8EDB-4429-907E-2A81286E7544}" type="presParOf" srcId="{4868EFF8-94AB-41D4-A454-B25911E5DDDC}" destId="{21CF50DC-94E4-49BA-893D-952B2BF29FEC}" srcOrd="0" destOrd="0" presId="urn:microsoft.com/office/officeart/2008/layout/NameandTitleOrganizationalChart"/>
    <dgm:cxn modelId="{B6EA1DA4-DA46-49AD-83C8-36A227E22515}" type="presParOf" srcId="{21CF50DC-94E4-49BA-893D-952B2BF29FEC}" destId="{39F8FAA3-5EE9-4ACE-BE60-7DB90A7FFD9A}" srcOrd="0" destOrd="0" presId="urn:microsoft.com/office/officeart/2008/layout/NameandTitleOrganizationalChart"/>
    <dgm:cxn modelId="{F207DE2A-8398-405F-B407-5079912ABB65}" type="presParOf" srcId="{39F8FAA3-5EE9-4ACE-BE60-7DB90A7FFD9A}" destId="{335C57EF-08A8-47D7-B8A3-4C5357C4CEE3}" srcOrd="0" destOrd="0" presId="urn:microsoft.com/office/officeart/2008/layout/NameandTitleOrganizationalChart"/>
    <dgm:cxn modelId="{E5FC3D4C-1B74-4A21-8DB9-D635AD7A61D8}" type="presParOf" srcId="{39F8FAA3-5EE9-4ACE-BE60-7DB90A7FFD9A}" destId="{07ECEEB5-041B-40F7-877E-856026647631}" srcOrd="1" destOrd="0" presId="urn:microsoft.com/office/officeart/2008/layout/NameandTitleOrganizationalChart"/>
    <dgm:cxn modelId="{A4F1F9DA-7514-4907-B589-B4EC8DA50400}" type="presParOf" srcId="{39F8FAA3-5EE9-4ACE-BE60-7DB90A7FFD9A}" destId="{F2451B13-D03D-464E-9055-B5FD923D7719}" srcOrd="2" destOrd="0" presId="urn:microsoft.com/office/officeart/2008/layout/NameandTitleOrganizationalChart"/>
    <dgm:cxn modelId="{8E8A09EE-D85B-4F62-83CB-9E8AFA4CE627}" type="presParOf" srcId="{21CF50DC-94E4-49BA-893D-952B2BF29FEC}" destId="{7E7CAEC2-09A0-4370-9708-1F94C7E35B5D}" srcOrd="1" destOrd="0" presId="urn:microsoft.com/office/officeart/2008/layout/NameandTitleOrganizationalChart"/>
    <dgm:cxn modelId="{12BA56F3-DBBC-4B09-8DFF-826AE0EAA67C}" type="presParOf" srcId="{7E7CAEC2-09A0-4370-9708-1F94C7E35B5D}" destId="{5FD2AD9F-0131-4DE1-8CC2-661821368079}" srcOrd="0" destOrd="0" presId="urn:microsoft.com/office/officeart/2008/layout/NameandTitleOrganizationalChart"/>
    <dgm:cxn modelId="{C567A403-FC6C-4DF3-9B69-2E26957F10EC}" type="presParOf" srcId="{7E7CAEC2-09A0-4370-9708-1F94C7E35B5D}" destId="{18972CDF-AE99-40B3-B5F0-B2D52B883C4D}" srcOrd="1" destOrd="0" presId="urn:microsoft.com/office/officeart/2008/layout/NameandTitleOrganizationalChart"/>
    <dgm:cxn modelId="{E225073C-8931-4215-AFCE-716A585302C0}" type="presParOf" srcId="{18972CDF-AE99-40B3-B5F0-B2D52B883C4D}" destId="{6540A9E8-6440-4927-87B6-A3350836B593}" srcOrd="0" destOrd="0" presId="urn:microsoft.com/office/officeart/2008/layout/NameandTitleOrganizationalChart"/>
    <dgm:cxn modelId="{E1176BF4-5E82-4125-9859-0DC4D57C9ED8}" type="presParOf" srcId="{6540A9E8-6440-4927-87B6-A3350836B593}" destId="{6131A3ED-5D65-45D8-A611-89974AF80D08}" srcOrd="0" destOrd="0" presId="urn:microsoft.com/office/officeart/2008/layout/NameandTitleOrganizationalChart"/>
    <dgm:cxn modelId="{C5E6F255-B6E6-49E5-9850-1345B74DD325}" type="presParOf" srcId="{6540A9E8-6440-4927-87B6-A3350836B593}" destId="{8FA26709-29AA-4753-A84E-9F44F2FD7FAB}" srcOrd="1" destOrd="0" presId="urn:microsoft.com/office/officeart/2008/layout/NameandTitleOrganizationalChart"/>
    <dgm:cxn modelId="{BF27905E-F364-4A3E-AC88-0BE0E28CD33C}" type="presParOf" srcId="{6540A9E8-6440-4927-87B6-A3350836B593}" destId="{73CC1ACA-707E-4683-A823-84E81D2E5DB5}" srcOrd="2" destOrd="0" presId="urn:microsoft.com/office/officeart/2008/layout/NameandTitleOrganizationalChart"/>
    <dgm:cxn modelId="{55CEEDD6-B2BE-46A2-8941-8D57D16E6765}" type="presParOf" srcId="{18972CDF-AE99-40B3-B5F0-B2D52B883C4D}" destId="{65A12A89-7DB9-455E-A866-2E7CC0C85ECC}" srcOrd="1" destOrd="0" presId="urn:microsoft.com/office/officeart/2008/layout/NameandTitleOrganizationalChart"/>
    <dgm:cxn modelId="{AD08093B-626A-41A8-A4B2-B35A2C5EAC78}" type="presParOf" srcId="{65A12A89-7DB9-455E-A866-2E7CC0C85ECC}" destId="{364877F1-A5C1-4B2F-A374-28E41C8C77D0}" srcOrd="0" destOrd="0" presId="urn:microsoft.com/office/officeart/2008/layout/NameandTitleOrganizationalChart"/>
    <dgm:cxn modelId="{51205F66-0737-4FB8-BFB4-7FAEE24E975D}" type="presParOf" srcId="{65A12A89-7DB9-455E-A866-2E7CC0C85ECC}" destId="{FCC8D759-9248-471E-9D98-73F685985227}" srcOrd="1" destOrd="0" presId="urn:microsoft.com/office/officeart/2008/layout/NameandTitleOrganizationalChart"/>
    <dgm:cxn modelId="{1A87E578-292C-4D45-B5AB-D4BED41BEC81}" type="presParOf" srcId="{FCC8D759-9248-471E-9D98-73F685985227}" destId="{F306B424-517C-4448-B4B8-465AD9197DE3}" srcOrd="0" destOrd="0" presId="urn:microsoft.com/office/officeart/2008/layout/NameandTitleOrganizationalChart"/>
    <dgm:cxn modelId="{9B05532F-97B8-4F39-AD3B-75674A65F5EB}" type="presParOf" srcId="{F306B424-517C-4448-B4B8-465AD9197DE3}" destId="{7EDABBF6-94F6-4F1A-BCE4-67BE1B87A914}" srcOrd="0" destOrd="0" presId="urn:microsoft.com/office/officeart/2008/layout/NameandTitleOrganizationalChart"/>
    <dgm:cxn modelId="{770501D3-7DE3-4F67-B2E4-7BC1C1BC4E62}" type="presParOf" srcId="{F306B424-517C-4448-B4B8-465AD9197DE3}" destId="{A1A2A2E6-C24A-464B-A2C4-D3ED4F8F2630}" srcOrd="1" destOrd="0" presId="urn:microsoft.com/office/officeart/2008/layout/NameandTitleOrganizationalChart"/>
    <dgm:cxn modelId="{E11166BF-423E-4F62-9043-5C416D804CA4}" type="presParOf" srcId="{F306B424-517C-4448-B4B8-465AD9197DE3}" destId="{EB089105-649E-4D85-9027-9173A0586BE0}" srcOrd="2" destOrd="0" presId="urn:microsoft.com/office/officeart/2008/layout/NameandTitleOrganizationalChart"/>
    <dgm:cxn modelId="{7ACBCC7E-69CB-4C86-9784-AC1DD53AC82E}" type="presParOf" srcId="{FCC8D759-9248-471E-9D98-73F685985227}" destId="{E954AD54-99EA-4037-B1C4-83269EB5985A}" srcOrd="1" destOrd="0" presId="urn:microsoft.com/office/officeart/2008/layout/NameandTitleOrganizationalChart"/>
    <dgm:cxn modelId="{972E93DA-EB8F-487E-A46F-6B7523CF9FA6}" type="presParOf" srcId="{FCC8D759-9248-471E-9D98-73F685985227}" destId="{A95251A8-E9F6-4E85-9833-827DE6A68263}" srcOrd="2" destOrd="0" presId="urn:microsoft.com/office/officeart/2008/layout/NameandTitleOrganizationalChart"/>
    <dgm:cxn modelId="{019ADC5C-4F54-4487-9051-4FF217438C99}" type="presParOf" srcId="{18972CDF-AE99-40B3-B5F0-B2D52B883C4D}" destId="{56EB7ACE-48FC-4BAE-B279-C2FFE1B34175}" srcOrd="2" destOrd="0" presId="urn:microsoft.com/office/officeart/2008/layout/NameandTitleOrganizationalChart"/>
    <dgm:cxn modelId="{D957633B-A8E4-4B1F-AD7C-A6EF7D321E38}" type="presParOf" srcId="{7E7CAEC2-09A0-4370-9708-1F94C7E35B5D}" destId="{E2B6B6E7-F140-4C70-A1FE-60635A4D942A}" srcOrd="2" destOrd="0" presId="urn:microsoft.com/office/officeart/2008/layout/NameandTitleOrganizationalChart"/>
    <dgm:cxn modelId="{8D24B067-9581-43C3-9110-2B3213D02E0D}" type="presParOf" srcId="{7E7CAEC2-09A0-4370-9708-1F94C7E35B5D}" destId="{A59BA704-55DE-4DBD-A9DF-3B0DCADAAAC3}" srcOrd="3" destOrd="0" presId="urn:microsoft.com/office/officeart/2008/layout/NameandTitleOrganizationalChart"/>
    <dgm:cxn modelId="{EAE13BDC-2A5B-4F32-A493-78F91608C109}" type="presParOf" srcId="{A59BA704-55DE-4DBD-A9DF-3B0DCADAAAC3}" destId="{03503F8D-49A7-4D8B-B860-B7F3C0B1A65B}" srcOrd="0" destOrd="0" presId="urn:microsoft.com/office/officeart/2008/layout/NameandTitleOrganizationalChart"/>
    <dgm:cxn modelId="{97313D8A-DBF6-4A34-B223-2395B8D894B6}" type="presParOf" srcId="{03503F8D-49A7-4D8B-B860-B7F3C0B1A65B}" destId="{4989D0DD-E81E-4140-B584-B6863E1673F4}" srcOrd="0" destOrd="0" presId="urn:microsoft.com/office/officeart/2008/layout/NameandTitleOrganizationalChart"/>
    <dgm:cxn modelId="{B52882E8-563A-47DB-ADF9-E11BDE38CC26}" type="presParOf" srcId="{03503F8D-49A7-4D8B-B860-B7F3C0B1A65B}" destId="{8A100DDD-6AFE-43C4-9791-2D703994052A}" srcOrd="1" destOrd="0" presId="urn:microsoft.com/office/officeart/2008/layout/NameandTitleOrganizationalChart"/>
    <dgm:cxn modelId="{6BE71674-A04E-4283-9CC8-CB34EAB1C8A1}" type="presParOf" srcId="{03503F8D-49A7-4D8B-B860-B7F3C0B1A65B}" destId="{18C4030D-0048-4C2D-9EA4-511C0507C912}" srcOrd="2" destOrd="0" presId="urn:microsoft.com/office/officeart/2008/layout/NameandTitleOrganizationalChart"/>
    <dgm:cxn modelId="{4F9EA009-3814-44F9-9B92-E195A39946BE}" type="presParOf" srcId="{A59BA704-55DE-4DBD-A9DF-3B0DCADAAAC3}" destId="{C659DA43-266F-4D0C-B307-57AB56268FF3}" srcOrd="1" destOrd="0" presId="urn:microsoft.com/office/officeart/2008/layout/NameandTitleOrganizationalChart"/>
    <dgm:cxn modelId="{88A7FB55-BD7C-4D96-8140-88EE18B44B53}" type="presParOf" srcId="{A59BA704-55DE-4DBD-A9DF-3B0DCADAAAC3}" destId="{A8423A40-5034-4A37-862D-B0A81E5492F8}" srcOrd="2" destOrd="0" presId="urn:microsoft.com/office/officeart/2008/layout/NameandTitleOrganizationalChart"/>
    <dgm:cxn modelId="{7A5AE191-BFFD-4615-909C-A5D73A079D6C}" type="presParOf" srcId="{7E7CAEC2-09A0-4370-9708-1F94C7E35B5D}" destId="{FD1A75D6-8A91-4383-BB87-33DF94CFDC69}" srcOrd="4" destOrd="0" presId="urn:microsoft.com/office/officeart/2008/layout/NameandTitleOrganizationalChart"/>
    <dgm:cxn modelId="{5AF92C07-8981-4771-A15D-2F74A96213BF}" type="presParOf" srcId="{7E7CAEC2-09A0-4370-9708-1F94C7E35B5D}" destId="{7FCDB64A-FD5C-45CC-89ED-62F874BF3ABE}" srcOrd="5" destOrd="0" presId="urn:microsoft.com/office/officeart/2008/layout/NameandTitleOrganizationalChart"/>
    <dgm:cxn modelId="{A84EE7CD-E7E5-46E3-A932-7FA471D1CA37}" type="presParOf" srcId="{7FCDB64A-FD5C-45CC-89ED-62F874BF3ABE}" destId="{95E1E6D9-60F7-4A2D-BDC5-0D49F7622ED5}" srcOrd="0" destOrd="0" presId="urn:microsoft.com/office/officeart/2008/layout/NameandTitleOrganizationalChart"/>
    <dgm:cxn modelId="{68F56125-658E-46A0-9186-96C2C87761B0}" type="presParOf" srcId="{95E1E6D9-60F7-4A2D-BDC5-0D49F7622ED5}" destId="{4C686AA8-23C1-48AA-A863-CFEB4C692EEF}" srcOrd="0" destOrd="0" presId="urn:microsoft.com/office/officeart/2008/layout/NameandTitleOrganizationalChart"/>
    <dgm:cxn modelId="{B42779C4-0834-43F2-9888-AE447C9D848B}" type="presParOf" srcId="{95E1E6D9-60F7-4A2D-BDC5-0D49F7622ED5}" destId="{B45007D9-1991-4640-8BBB-A0F6637130C7}" srcOrd="1" destOrd="0" presId="urn:microsoft.com/office/officeart/2008/layout/NameandTitleOrganizationalChart"/>
    <dgm:cxn modelId="{A81B17E5-1939-456B-8DF6-F48888FB5B0A}" type="presParOf" srcId="{95E1E6D9-60F7-4A2D-BDC5-0D49F7622ED5}" destId="{B43589E3-40CB-49F7-9DBC-D6D21E7895EA}" srcOrd="2" destOrd="0" presId="urn:microsoft.com/office/officeart/2008/layout/NameandTitleOrganizationalChart"/>
    <dgm:cxn modelId="{C774879E-EC8D-4F9D-B338-6CBC755A92F0}" type="presParOf" srcId="{7FCDB64A-FD5C-45CC-89ED-62F874BF3ABE}" destId="{7492FCAB-8D53-43C5-B7CF-5B1EAB4B5C5F}" srcOrd="1" destOrd="0" presId="urn:microsoft.com/office/officeart/2008/layout/NameandTitleOrganizationalChart"/>
    <dgm:cxn modelId="{A976038E-412E-44EE-9331-8FF29400B226}" type="presParOf" srcId="{7492FCAB-8D53-43C5-B7CF-5B1EAB4B5C5F}" destId="{DCCF2C40-838D-439F-B1B0-E209FA11A2E5}" srcOrd="0" destOrd="0" presId="urn:microsoft.com/office/officeart/2008/layout/NameandTitleOrganizationalChart"/>
    <dgm:cxn modelId="{BB816699-01C5-4060-B0C4-4AEB1674FA26}" type="presParOf" srcId="{7492FCAB-8D53-43C5-B7CF-5B1EAB4B5C5F}" destId="{9AA8D43A-DAEF-481B-B9C4-3A976B45525B}" srcOrd="1" destOrd="0" presId="urn:microsoft.com/office/officeart/2008/layout/NameandTitleOrganizationalChart"/>
    <dgm:cxn modelId="{869CCCDA-C6F3-4696-ADC9-0EF745F61D6B}" type="presParOf" srcId="{9AA8D43A-DAEF-481B-B9C4-3A976B45525B}" destId="{51FACCD0-FCA1-403A-8A4D-8490D2D660CA}" srcOrd="0" destOrd="0" presId="urn:microsoft.com/office/officeart/2008/layout/NameandTitleOrganizationalChart"/>
    <dgm:cxn modelId="{E1B7465E-DBD0-4C5D-9ACF-C2818C637226}" type="presParOf" srcId="{51FACCD0-FCA1-403A-8A4D-8490D2D660CA}" destId="{422C7A9E-2BB9-430B-9180-9F276C7D30B2}" srcOrd="0" destOrd="0" presId="urn:microsoft.com/office/officeart/2008/layout/NameandTitleOrganizationalChart"/>
    <dgm:cxn modelId="{0224CC13-CDA7-4111-BA23-CD711CDA79A3}" type="presParOf" srcId="{51FACCD0-FCA1-403A-8A4D-8490D2D660CA}" destId="{F606E186-6D3F-4D50-BBC2-00915BD122EA}" srcOrd="1" destOrd="0" presId="urn:microsoft.com/office/officeart/2008/layout/NameandTitleOrganizationalChart"/>
    <dgm:cxn modelId="{6CE11378-74E6-4B98-B42F-6878105ED838}" type="presParOf" srcId="{51FACCD0-FCA1-403A-8A4D-8490D2D660CA}" destId="{DC406775-C64A-421F-A44E-ECD917245087}" srcOrd="2" destOrd="0" presId="urn:microsoft.com/office/officeart/2008/layout/NameandTitleOrganizationalChart"/>
    <dgm:cxn modelId="{C0AF1401-2107-4545-A431-614FC5F9BCB3}" type="presParOf" srcId="{9AA8D43A-DAEF-481B-B9C4-3A976B45525B}" destId="{3B3F2CA1-D778-43A4-A556-3BA86020CB0E}" srcOrd="1" destOrd="0" presId="urn:microsoft.com/office/officeart/2008/layout/NameandTitleOrganizationalChart"/>
    <dgm:cxn modelId="{0D1A52E1-CDA5-43F4-8EB0-7C11D29364B5}" type="presParOf" srcId="{9AA8D43A-DAEF-481B-B9C4-3A976B45525B}" destId="{72DE9A56-1619-427E-9B80-B9DCE35B3E15}" srcOrd="2" destOrd="0" presId="urn:microsoft.com/office/officeart/2008/layout/NameandTitleOrganizationalChart"/>
    <dgm:cxn modelId="{29D2818E-7EFB-46AA-BDE7-18EB215C5529}" type="presParOf" srcId="{7492FCAB-8D53-43C5-B7CF-5B1EAB4B5C5F}" destId="{1EFCDA62-B55C-48A2-A24A-4E979D59439F}" srcOrd="2" destOrd="0" presId="urn:microsoft.com/office/officeart/2008/layout/NameandTitleOrganizationalChart"/>
    <dgm:cxn modelId="{B49B733D-E799-456F-977E-98D5097F16EA}" type="presParOf" srcId="{7492FCAB-8D53-43C5-B7CF-5B1EAB4B5C5F}" destId="{25700880-70A1-4C2B-80D0-2204544CC209}" srcOrd="3" destOrd="0" presId="urn:microsoft.com/office/officeart/2008/layout/NameandTitleOrganizationalChart"/>
    <dgm:cxn modelId="{F7496FAE-EFD8-426D-9F2A-1854EC2F35EF}" type="presParOf" srcId="{25700880-70A1-4C2B-80D0-2204544CC209}" destId="{3C870813-FAE1-4D80-B5A9-031FC6DB4E10}" srcOrd="0" destOrd="0" presId="urn:microsoft.com/office/officeart/2008/layout/NameandTitleOrganizationalChart"/>
    <dgm:cxn modelId="{30D60C9A-3A21-430E-9318-572D204322B9}" type="presParOf" srcId="{3C870813-FAE1-4D80-B5A9-031FC6DB4E10}" destId="{40DA7A7D-98C5-4EC9-9199-AB3AA309F4FD}" srcOrd="0" destOrd="0" presId="urn:microsoft.com/office/officeart/2008/layout/NameandTitleOrganizationalChart"/>
    <dgm:cxn modelId="{B7115E22-5098-49A3-8216-1C0699D7B9B8}" type="presParOf" srcId="{3C870813-FAE1-4D80-B5A9-031FC6DB4E10}" destId="{25533EBF-73F3-4CAA-A59A-48DD84DE108D}" srcOrd="1" destOrd="0" presId="urn:microsoft.com/office/officeart/2008/layout/NameandTitleOrganizationalChart"/>
    <dgm:cxn modelId="{99E7997E-680F-42B0-BE9A-AC813F379F20}" type="presParOf" srcId="{3C870813-FAE1-4D80-B5A9-031FC6DB4E10}" destId="{DD97DE8F-A9E5-48BB-BA99-16BD5C1FCECF}" srcOrd="2" destOrd="0" presId="urn:microsoft.com/office/officeart/2008/layout/NameandTitleOrganizationalChart"/>
    <dgm:cxn modelId="{AB20E618-5F5C-4637-A9D0-E32185781F7A}" type="presParOf" srcId="{25700880-70A1-4C2B-80D0-2204544CC209}" destId="{85E37108-E7C2-48BE-8E64-72AE5D9B7662}" srcOrd="1" destOrd="0" presId="urn:microsoft.com/office/officeart/2008/layout/NameandTitleOrganizationalChart"/>
    <dgm:cxn modelId="{0D9ADB11-98A2-421F-A480-E8B796C85F3C}" type="presParOf" srcId="{25700880-70A1-4C2B-80D0-2204544CC209}" destId="{3A7F7312-17CB-4367-A1A2-C2500336E716}" srcOrd="2" destOrd="0" presId="urn:microsoft.com/office/officeart/2008/layout/NameandTitleOrganizationalChart"/>
    <dgm:cxn modelId="{FF9F3AF0-53EF-41CD-BA13-A8951DE24C8E}" type="presParOf" srcId="{7FCDB64A-FD5C-45CC-89ED-62F874BF3ABE}" destId="{B4F181F4-81F9-49FE-B13F-35E64465F0E5}" srcOrd="2" destOrd="0" presId="urn:microsoft.com/office/officeart/2008/layout/NameandTitleOrganizationalChart"/>
    <dgm:cxn modelId="{A98C0C4A-B393-4CD0-9162-48B078DC02C8}" type="presParOf" srcId="{7E7CAEC2-09A0-4370-9708-1F94C7E35B5D}" destId="{3ED2ECC6-9528-46D8-8737-C9A686627788}" srcOrd="6" destOrd="0" presId="urn:microsoft.com/office/officeart/2008/layout/NameandTitleOrganizationalChart"/>
    <dgm:cxn modelId="{59F09222-058B-439E-B2A6-C9114B74028A}" type="presParOf" srcId="{7E7CAEC2-09A0-4370-9708-1F94C7E35B5D}" destId="{6513774B-D547-4AE3-A002-B36BC98FA6E5}" srcOrd="7" destOrd="0" presId="urn:microsoft.com/office/officeart/2008/layout/NameandTitleOrganizationalChart"/>
    <dgm:cxn modelId="{E453A7FE-88CA-426D-915B-128A058B489B}" type="presParOf" srcId="{6513774B-D547-4AE3-A002-B36BC98FA6E5}" destId="{0238106D-E870-47BF-BA55-31FD614EB751}" srcOrd="0" destOrd="0" presId="urn:microsoft.com/office/officeart/2008/layout/NameandTitleOrganizationalChart"/>
    <dgm:cxn modelId="{A123065F-B734-41B5-82B6-71D46F88A6DB}" type="presParOf" srcId="{0238106D-E870-47BF-BA55-31FD614EB751}" destId="{C0D8B78A-41A9-4B9B-A35C-24FCD2A6A4F9}" srcOrd="0" destOrd="0" presId="urn:microsoft.com/office/officeart/2008/layout/NameandTitleOrganizationalChart"/>
    <dgm:cxn modelId="{6E820363-9263-404B-9567-2B428D0FFABD}" type="presParOf" srcId="{0238106D-E870-47BF-BA55-31FD614EB751}" destId="{8A08EC9D-2A4C-4F24-AA5A-0F7CB5F96DB5}" srcOrd="1" destOrd="0" presId="urn:microsoft.com/office/officeart/2008/layout/NameandTitleOrganizationalChart"/>
    <dgm:cxn modelId="{67185EC0-811B-4BF9-AD17-AB83AACA9752}" type="presParOf" srcId="{0238106D-E870-47BF-BA55-31FD614EB751}" destId="{F35E1D16-3B27-4DE1-9828-797010687FE8}" srcOrd="2" destOrd="0" presId="urn:microsoft.com/office/officeart/2008/layout/NameandTitleOrganizationalChart"/>
    <dgm:cxn modelId="{79EFE4E0-AA28-4580-AD7D-1E99FC572EF6}" type="presParOf" srcId="{6513774B-D547-4AE3-A002-B36BC98FA6E5}" destId="{E2077BE3-8B4F-45F3-B181-CB35C078283B}" srcOrd="1" destOrd="0" presId="urn:microsoft.com/office/officeart/2008/layout/NameandTitleOrganizationalChart"/>
    <dgm:cxn modelId="{273E534B-0F82-40EA-B1EF-3487849BECBD}" type="presParOf" srcId="{E2077BE3-8B4F-45F3-B181-CB35C078283B}" destId="{910AB606-0FED-4F6E-ACD9-B25891BFD064}" srcOrd="0" destOrd="0" presId="urn:microsoft.com/office/officeart/2008/layout/NameandTitleOrganizationalChart"/>
    <dgm:cxn modelId="{26D3902C-4C6B-4180-AC47-98B3500D4A66}" type="presParOf" srcId="{E2077BE3-8B4F-45F3-B181-CB35C078283B}" destId="{C20B5D63-8BDC-4538-8C02-28A2D570D94A}" srcOrd="1" destOrd="0" presId="urn:microsoft.com/office/officeart/2008/layout/NameandTitleOrganizationalChart"/>
    <dgm:cxn modelId="{0320D221-85B6-4E11-AC16-56C0B23D5550}" type="presParOf" srcId="{C20B5D63-8BDC-4538-8C02-28A2D570D94A}" destId="{1B6EB2C5-7A3D-4682-B631-569511115AF4}" srcOrd="0" destOrd="0" presId="urn:microsoft.com/office/officeart/2008/layout/NameandTitleOrganizationalChart"/>
    <dgm:cxn modelId="{23B7C750-AE38-48C1-9DB1-EA1F8A8F4BF0}" type="presParOf" srcId="{1B6EB2C5-7A3D-4682-B631-569511115AF4}" destId="{878415FD-E9F7-45B8-984D-E8F235A53BFE}" srcOrd="0" destOrd="0" presId="urn:microsoft.com/office/officeart/2008/layout/NameandTitleOrganizationalChart"/>
    <dgm:cxn modelId="{843E5BED-D52E-4A56-8780-0D8B81411ABF}" type="presParOf" srcId="{1B6EB2C5-7A3D-4682-B631-569511115AF4}" destId="{5465DF4B-A883-464D-B11E-8D07498434E3}" srcOrd="1" destOrd="0" presId="urn:microsoft.com/office/officeart/2008/layout/NameandTitleOrganizationalChart"/>
    <dgm:cxn modelId="{18E9B288-1855-4BF8-A1E4-C1BB402C245F}" type="presParOf" srcId="{1B6EB2C5-7A3D-4682-B631-569511115AF4}" destId="{179BB237-1CFB-490B-924A-A7595CB6A146}" srcOrd="2" destOrd="0" presId="urn:microsoft.com/office/officeart/2008/layout/NameandTitleOrganizationalChart"/>
    <dgm:cxn modelId="{B97302A0-C9F2-4FF0-A3FC-95F2483BD957}" type="presParOf" srcId="{C20B5D63-8BDC-4538-8C02-28A2D570D94A}" destId="{4C823619-7CAE-4442-ACD5-987DF95E7E04}" srcOrd="1" destOrd="0" presId="urn:microsoft.com/office/officeart/2008/layout/NameandTitleOrganizationalChart"/>
    <dgm:cxn modelId="{233942A8-5FD2-4301-87E0-E29FAFC3ED83}" type="presParOf" srcId="{4C823619-7CAE-4442-ACD5-987DF95E7E04}" destId="{0E43B6FA-C70C-4A24-9663-3BE53A278CD5}" srcOrd="0" destOrd="0" presId="urn:microsoft.com/office/officeart/2008/layout/NameandTitleOrganizationalChart"/>
    <dgm:cxn modelId="{93521126-0A07-4F6E-A117-CDB2FA918451}" type="presParOf" srcId="{4C823619-7CAE-4442-ACD5-987DF95E7E04}" destId="{FC692554-0260-468E-99DC-8E38223073A5}" srcOrd="1" destOrd="0" presId="urn:microsoft.com/office/officeart/2008/layout/NameandTitleOrganizationalChart"/>
    <dgm:cxn modelId="{526CB2AB-D364-4735-8F61-E5AB6A8F0BF3}" type="presParOf" srcId="{FC692554-0260-468E-99DC-8E38223073A5}" destId="{C1C0D62D-8203-4E9D-AF9A-518BF3CA5E21}" srcOrd="0" destOrd="0" presId="urn:microsoft.com/office/officeart/2008/layout/NameandTitleOrganizationalChart"/>
    <dgm:cxn modelId="{FE9BD3D8-C031-4407-A4AD-A39666952C12}" type="presParOf" srcId="{C1C0D62D-8203-4E9D-AF9A-518BF3CA5E21}" destId="{7F26CDAA-A2DD-4B02-9000-6FE138CC6036}" srcOrd="0" destOrd="0" presId="urn:microsoft.com/office/officeart/2008/layout/NameandTitleOrganizationalChart"/>
    <dgm:cxn modelId="{4DAE2F87-63D3-4903-9FC3-F9E83B40817D}" type="presParOf" srcId="{C1C0D62D-8203-4E9D-AF9A-518BF3CA5E21}" destId="{BCD4D81B-5F9D-4DDA-B8E9-AC375FF09135}" srcOrd="1" destOrd="0" presId="urn:microsoft.com/office/officeart/2008/layout/NameandTitleOrganizationalChart"/>
    <dgm:cxn modelId="{B9C0DF82-4744-4FB8-840A-65C5A188E25E}" type="presParOf" srcId="{C1C0D62D-8203-4E9D-AF9A-518BF3CA5E21}" destId="{86616D80-3E5C-422B-B641-3E4725C99DC9}" srcOrd="2" destOrd="0" presId="urn:microsoft.com/office/officeart/2008/layout/NameandTitleOrganizationalChart"/>
    <dgm:cxn modelId="{854C6136-19E8-41C3-880B-8F300DB1505D}" type="presParOf" srcId="{FC692554-0260-468E-99DC-8E38223073A5}" destId="{0435D02C-9A8A-4AE9-8AD4-684AA8D188B8}" srcOrd="1" destOrd="0" presId="urn:microsoft.com/office/officeart/2008/layout/NameandTitleOrganizationalChart"/>
    <dgm:cxn modelId="{4B7C9454-1529-4682-8588-881711D3B5A7}" type="presParOf" srcId="{FC692554-0260-468E-99DC-8E38223073A5}" destId="{E1295EFF-CCA9-4B47-B613-7B0FB1B47541}" srcOrd="2" destOrd="0" presId="urn:microsoft.com/office/officeart/2008/layout/NameandTitleOrganizationalChart"/>
    <dgm:cxn modelId="{02A70DE8-40F1-48A5-B964-D36F93D36AF7}" type="presParOf" srcId="{C20B5D63-8BDC-4538-8C02-28A2D570D94A}" destId="{27099867-7908-4B7A-850F-8C1A1CFE1F17}" srcOrd="2" destOrd="0" presId="urn:microsoft.com/office/officeart/2008/layout/NameandTitleOrganizationalChart"/>
    <dgm:cxn modelId="{D7BA084F-93B5-4B24-8036-70A9819BA7F9}" type="presParOf" srcId="{6513774B-D547-4AE3-A002-B36BC98FA6E5}" destId="{497ABCE3-DEF1-4FA0-AF8F-C637BFF9F870}" srcOrd="2" destOrd="0" presId="urn:microsoft.com/office/officeart/2008/layout/NameandTitleOrganizationalChart"/>
    <dgm:cxn modelId="{019A2126-4BBF-4C40-AD12-26A017CD4728}" type="presParOf" srcId="{7E7CAEC2-09A0-4370-9708-1F94C7E35B5D}" destId="{EB3F7E34-DD23-4826-8EDA-E7056A0042BF}" srcOrd="8" destOrd="0" presId="urn:microsoft.com/office/officeart/2008/layout/NameandTitleOrganizationalChart"/>
    <dgm:cxn modelId="{2F4333ED-229B-452E-B353-747317AEA258}" type="presParOf" srcId="{7E7CAEC2-09A0-4370-9708-1F94C7E35B5D}" destId="{D152A719-1460-4707-801D-527620DA09FD}" srcOrd="9" destOrd="0" presId="urn:microsoft.com/office/officeart/2008/layout/NameandTitleOrganizationalChart"/>
    <dgm:cxn modelId="{E5EF4860-8546-4CD3-A8B2-9B073217B33E}" type="presParOf" srcId="{D152A719-1460-4707-801D-527620DA09FD}" destId="{45EC4F09-B906-4BC6-AFFE-17A47EE2944E}" srcOrd="0" destOrd="0" presId="urn:microsoft.com/office/officeart/2008/layout/NameandTitleOrganizationalChart"/>
    <dgm:cxn modelId="{17532CF8-0D21-4B18-B7F1-76338F652002}" type="presParOf" srcId="{45EC4F09-B906-4BC6-AFFE-17A47EE2944E}" destId="{BDFA2BCB-8F7A-4F85-A55E-1F44F368380C}" srcOrd="0" destOrd="0" presId="urn:microsoft.com/office/officeart/2008/layout/NameandTitleOrganizationalChart"/>
    <dgm:cxn modelId="{097CDEAA-5440-408B-9EFD-D27AA97DBF24}" type="presParOf" srcId="{45EC4F09-B906-4BC6-AFFE-17A47EE2944E}" destId="{4B37AF9B-4D95-437E-8B07-071A94FF5771}" srcOrd="1" destOrd="0" presId="urn:microsoft.com/office/officeart/2008/layout/NameandTitleOrganizationalChart"/>
    <dgm:cxn modelId="{9E5AF518-71E5-40A6-92F5-2985EC5E40A9}" type="presParOf" srcId="{45EC4F09-B906-4BC6-AFFE-17A47EE2944E}" destId="{B634510A-7340-4ADF-816A-2D51A58568CA}" srcOrd="2" destOrd="0" presId="urn:microsoft.com/office/officeart/2008/layout/NameandTitleOrganizationalChart"/>
    <dgm:cxn modelId="{95D1C929-25B9-472B-B687-31E046765070}" type="presParOf" srcId="{D152A719-1460-4707-801D-527620DA09FD}" destId="{449CBFB8-FCBE-48DC-BF51-F540502A871F}" srcOrd="1" destOrd="0" presId="urn:microsoft.com/office/officeart/2008/layout/NameandTitleOrganizationalChart"/>
    <dgm:cxn modelId="{2EAB426A-FE22-43F0-BADB-109263DD7BEF}" type="presParOf" srcId="{449CBFB8-FCBE-48DC-BF51-F540502A871F}" destId="{5C528F1E-2938-451F-89C3-752CBB728523}" srcOrd="0" destOrd="0" presId="urn:microsoft.com/office/officeart/2008/layout/NameandTitleOrganizationalChart"/>
    <dgm:cxn modelId="{24056B71-AD4F-43C5-9136-158D74D2BC56}" type="presParOf" srcId="{449CBFB8-FCBE-48DC-BF51-F540502A871F}" destId="{3C4698FB-B84B-4005-BDE6-4FCCFE68CDC9}" srcOrd="1" destOrd="0" presId="urn:microsoft.com/office/officeart/2008/layout/NameandTitleOrganizationalChart"/>
    <dgm:cxn modelId="{264ABB53-30DA-43E2-96F9-429DD8EF3F63}" type="presParOf" srcId="{3C4698FB-B84B-4005-BDE6-4FCCFE68CDC9}" destId="{D74516D8-8FD4-45D0-AA86-2FACEE727743}" srcOrd="0" destOrd="0" presId="urn:microsoft.com/office/officeart/2008/layout/NameandTitleOrganizationalChart"/>
    <dgm:cxn modelId="{001D25F9-A698-427B-9608-8180836140CD}" type="presParOf" srcId="{D74516D8-8FD4-45D0-AA86-2FACEE727743}" destId="{2C34178F-A823-497F-816E-B83475D1C507}" srcOrd="0" destOrd="0" presId="urn:microsoft.com/office/officeart/2008/layout/NameandTitleOrganizationalChart"/>
    <dgm:cxn modelId="{11B1C95D-6F88-4E60-8720-80FC37B6BB8A}" type="presParOf" srcId="{D74516D8-8FD4-45D0-AA86-2FACEE727743}" destId="{FC95823F-086E-4C7A-AAEE-7F55D34064BC}" srcOrd="1" destOrd="0" presId="urn:microsoft.com/office/officeart/2008/layout/NameandTitleOrganizationalChart"/>
    <dgm:cxn modelId="{B6C05499-A9F9-48DC-B2BE-1A96C1DFBC77}" type="presParOf" srcId="{D74516D8-8FD4-45D0-AA86-2FACEE727743}" destId="{A0CE2A9B-11AC-450F-BF5D-D563182787EB}" srcOrd="2" destOrd="0" presId="urn:microsoft.com/office/officeart/2008/layout/NameandTitleOrganizationalChart"/>
    <dgm:cxn modelId="{2048B314-581D-45F4-8B46-6A9308CAB1CB}" type="presParOf" srcId="{3C4698FB-B84B-4005-BDE6-4FCCFE68CDC9}" destId="{5B7C4A3A-ED18-439C-AE94-EAB4A635603D}" srcOrd="1" destOrd="0" presId="urn:microsoft.com/office/officeart/2008/layout/NameandTitleOrganizationalChart"/>
    <dgm:cxn modelId="{C2CBBB13-3371-4F7C-A13B-F0C5FEBA3DA4}" type="presParOf" srcId="{5B7C4A3A-ED18-439C-AE94-EAB4A635603D}" destId="{8941EA5C-AA18-4A57-9717-CF31B51F23B2}" srcOrd="0" destOrd="0" presId="urn:microsoft.com/office/officeart/2008/layout/NameandTitleOrganizationalChart"/>
    <dgm:cxn modelId="{8954A7D4-568B-450F-B500-31A6B2D35029}" type="presParOf" srcId="{5B7C4A3A-ED18-439C-AE94-EAB4A635603D}" destId="{1E8CB73D-C1BC-4CA0-805E-F2C6D44D8056}" srcOrd="1" destOrd="0" presId="urn:microsoft.com/office/officeart/2008/layout/NameandTitleOrganizationalChart"/>
    <dgm:cxn modelId="{7F2CFD1E-5482-4872-A184-00C2F231CE82}" type="presParOf" srcId="{1E8CB73D-C1BC-4CA0-805E-F2C6D44D8056}" destId="{929AB87E-BD52-4FCC-842B-01F0D555AA70}" srcOrd="0" destOrd="0" presId="urn:microsoft.com/office/officeart/2008/layout/NameandTitleOrganizationalChart"/>
    <dgm:cxn modelId="{13B31FDE-FE52-4B97-B833-4D573010FD7B}" type="presParOf" srcId="{929AB87E-BD52-4FCC-842B-01F0D555AA70}" destId="{A95A908F-7A98-4DE1-BCCB-BFD2B34C4CCA}" srcOrd="0" destOrd="0" presId="urn:microsoft.com/office/officeart/2008/layout/NameandTitleOrganizationalChart"/>
    <dgm:cxn modelId="{791B0C39-7A95-45AA-A09C-983B2B86FAD9}" type="presParOf" srcId="{929AB87E-BD52-4FCC-842B-01F0D555AA70}" destId="{744E103E-3E3D-479D-A78B-B066187063F8}" srcOrd="1" destOrd="0" presId="urn:microsoft.com/office/officeart/2008/layout/NameandTitleOrganizationalChart"/>
    <dgm:cxn modelId="{289756AF-6A10-406C-B5A6-3DA5A5E0B95F}" type="presParOf" srcId="{929AB87E-BD52-4FCC-842B-01F0D555AA70}" destId="{18519413-5D15-4A6A-AF82-0F27A1425565}" srcOrd="2" destOrd="0" presId="urn:microsoft.com/office/officeart/2008/layout/NameandTitleOrganizationalChart"/>
    <dgm:cxn modelId="{768D0F37-3269-44EE-867C-DC55D9585D62}" type="presParOf" srcId="{1E8CB73D-C1BC-4CA0-805E-F2C6D44D8056}" destId="{78CF0A1E-6878-48F0-ACAA-A16B2D75E0AB}" srcOrd="1" destOrd="0" presId="urn:microsoft.com/office/officeart/2008/layout/NameandTitleOrganizationalChart"/>
    <dgm:cxn modelId="{A28B5D93-51A4-4747-82C8-C55D541E4AC8}" type="presParOf" srcId="{1E8CB73D-C1BC-4CA0-805E-F2C6D44D8056}" destId="{E22492DA-5A13-43BC-A228-CA3E7DD306FA}" srcOrd="2" destOrd="0" presId="urn:microsoft.com/office/officeart/2008/layout/NameandTitleOrganizationalChart"/>
    <dgm:cxn modelId="{843C0492-32CB-40F7-8947-0707C61D182A}" type="presParOf" srcId="{3C4698FB-B84B-4005-BDE6-4FCCFE68CDC9}" destId="{15487231-C33F-4F4B-8F30-F19329B1AECD}" srcOrd="2" destOrd="0" presId="urn:microsoft.com/office/officeart/2008/layout/NameandTitleOrganizationalChart"/>
    <dgm:cxn modelId="{B897D658-8088-434B-8F27-F3925AFC86D4}" type="presParOf" srcId="{D152A719-1460-4707-801D-527620DA09FD}" destId="{85344FF6-E8C6-4A78-BB89-8632ABE765CF}" srcOrd="2" destOrd="0" presId="urn:microsoft.com/office/officeart/2008/layout/NameandTitleOrganizationalChart"/>
    <dgm:cxn modelId="{4CA3794E-C737-4DFD-BA1A-4F3A8F9FD942}" type="presParOf" srcId="{7E7CAEC2-09A0-4370-9708-1F94C7E35B5D}" destId="{4ADCCD72-2661-4AD3-B67A-961BF2CE624E}" srcOrd="10" destOrd="0" presId="urn:microsoft.com/office/officeart/2008/layout/NameandTitleOrganizationalChart"/>
    <dgm:cxn modelId="{AAFDBDBE-5E2E-4411-AE8E-4FFC54F350C2}" type="presParOf" srcId="{7E7CAEC2-09A0-4370-9708-1F94C7E35B5D}" destId="{CC4D6F1E-5416-4CC6-B0FE-2281FFB95B1B}" srcOrd="11" destOrd="0" presId="urn:microsoft.com/office/officeart/2008/layout/NameandTitleOrganizationalChart"/>
    <dgm:cxn modelId="{BB61CE12-CBC0-4A0D-80B1-6CC82B8AE101}" type="presParOf" srcId="{CC4D6F1E-5416-4CC6-B0FE-2281FFB95B1B}" destId="{9AB57B5C-06FC-41D0-944F-5D3140D79DB8}" srcOrd="0" destOrd="0" presId="urn:microsoft.com/office/officeart/2008/layout/NameandTitleOrganizationalChart"/>
    <dgm:cxn modelId="{CB3C7C32-E82A-430E-83CF-DD0F374252DF}" type="presParOf" srcId="{9AB57B5C-06FC-41D0-944F-5D3140D79DB8}" destId="{8170E46F-BCE3-4036-828D-266832036069}" srcOrd="0" destOrd="0" presId="urn:microsoft.com/office/officeart/2008/layout/NameandTitleOrganizationalChart"/>
    <dgm:cxn modelId="{48C82424-42FF-43C4-AC74-6319F47B34BE}" type="presParOf" srcId="{9AB57B5C-06FC-41D0-944F-5D3140D79DB8}" destId="{889B1E2F-9703-4158-B093-6874AEA07EFA}" srcOrd="1" destOrd="0" presId="urn:microsoft.com/office/officeart/2008/layout/NameandTitleOrganizationalChart"/>
    <dgm:cxn modelId="{549F5256-08C5-4E11-A7D7-2A78E9F4AAF2}" type="presParOf" srcId="{9AB57B5C-06FC-41D0-944F-5D3140D79DB8}" destId="{6B82CF59-A566-4522-B0A2-0867B9BE381F}" srcOrd="2" destOrd="0" presId="urn:microsoft.com/office/officeart/2008/layout/NameandTitleOrganizationalChart"/>
    <dgm:cxn modelId="{D53E8415-989A-48D6-974B-7B8F9E8D76F3}" type="presParOf" srcId="{CC4D6F1E-5416-4CC6-B0FE-2281FFB95B1B}" destId="{5698D71F-8543-4021-B08D-4A6D7EAEDAB0}" srcOrd="1" destOrd="0" presId="urn:microsoft.com/office/officeart/2008/layout/NameandTitleOrganizationalChart"/>
    <dgm:cxn modelId="{FB4331C7-6B63-4666-9FA8-38A921D6C5AF}" type="presParOf" srcId="{5698D71F-8543-4021-B08D-4A6D7EAEDAB0}" destId="{7A0F4696-F4EA-4602-8C20-5EDE054085B8}" srcOrd="0" destOrd="0" presId="urn:microsoft.com/office/officeart/2008/layout/NameandTitleOrganizationalChart"/>
    <dgm:cxn modelId="{6284690C-24E8-4819-AAB0-12D78504BAE8}" type="presParOf" srcId="{5698D71F-8543-4021-B08D-4A6D7EAEDAB0}" destId="{8B52343D-3D2D-4FC2-AAAC-2C6970ED2C3B}" srcOrd="1" destOrd="0" presId="urn:microsoft.com/office/officeart/2008/layout/NameandTitleOrganizationalChart"/>
    <dgm:cxn modelId="{C1C7EFEB-AA09-485F-ACC4-B26998E77D48}" type="presParOf" srcId="{8B52343D-3D2D-4FC2-AAAC-2C6970ED2C3B}" destId="{927029EF-9B69-46F1-BACA-FD2AB5991DCB}" srcOrd="0" destOrd="0" presId="urn:microsoft.com/office/officeart/2008/layout/NameandTitleOrganizationalChart"/>
    <dgm:cxn modelId="{5206CF76-E2A0-4339-B081-5FA66E560857}" type="presParOf" srcId="{927029EF-9B69-46F1-BACA-FD2AB5991DCB}" destId="{D5FDD2CF-3AAB-4494-9511-E558CB844196}" srcOrd="0" destOrd="0" presId="urn:microsoft.com/office/officeart/2008/layout/NameandTitleOrganizationalChart"/>
    <dgm:cxn modelId="{B107968A-D16F-491F-857A-3D984C7C39BB}" type="presParOf" srcId="{927029EF-9B69-46F1-BACA-FD2AB5991DCB}" destId="{481D6A11-23FA-4EAC-BB79-20027AA24744}" srcOrd="1" destOrd="0" presId="urn:microsoft.com/office/officeart/2008/layout/NameandTitleOrganizationalChart"/>
    <dgm:cxn modelId="{3BC64921-018A-468E-88DD-EEBAA5A862EF}" type="presParOf" srcId="{927029EF-9B69-46F1-BACA-FD2AB5991DCB}" destId="{26D05CC9-7276-4A9F-BFC5-8402743B9C2B}" srcOrd="2" destOrd="0" presId="urn:microsoft.com/office/officeart/2008/layout/NameandTitleOrganizationalChart"/>
    <dgm:cxn modelId="{A7ABF503-69FC-4969-B5EA-1996769897C5}" type="presParOf" srcId="{8B52343D-3D2D-4FC2-AAAC-2C6970ED2C3B}" destId="{33D5928B-303D-4A64-A8C4-EDE1D0EDB783}" srcOrd="1" destOrd="0" presId="urn:microsoft.com/office/officeart/2008/layout/NameandTitleOrganizationalChart"/>
    <dgm:cxn modelId="{86187A08-5F49-4464-8085-FFB8B76EA3A4}" type="presParOf" srcId="{8B52343D-3D2D-4FC2-AAAC-2C6970ED2C3B}" destId="{0BED37E7-C1F8-4184-BC19-444971723164}" srcOrd="2" destOrd="0" presId="urn:microsoft.com/office/officeart/2008/layout/NameandTitleOrganizationalChart"/>
    <dgm:cxn modelId="{86AE75F4-CEDB-47C7-8CD8-0C102587A260}" type="presParOf" srcId="{CC4D6F1E-5416-4CC6-B0FE-2281FFB95B1B}" destId="{3B0716FC-FDB2-4D29-888A-AEB91051745A}" srcOrd="2" destOrd="0" presId="urn:microsoft.com/office/officeart/2008/layout/NameandTitleOrganizationalChart"/>
    <dgm:cxn modelId="{C5F2A683-8378-4E53-866B-18C268989C1E}" type="presParOf" srcId="{7E7CAEC2-09A0-4370-9708-1F94C7E35B5D}" destId="{42ECE018-31A0-47F6-A353-CDCF2AF9FEA6}" srcOrd="12" destOrd="0" presId="urn:microsoft.com/office/officeart/2008/layout/NameandTitleOrganizationalChart"/>
    <dgm:cxn modelId="{2ED95A31-02D9-4D04-BA67-A4C057131D29}" type="presParOf" srcId="{7E7CAEC2-09A0-4370-9708-1F94C7E35B5D}" destId="{49E3A701-34D8-4852-976B-E237D46BAE2F}" srcOrd="13" destOrd="0" presId="urn:microsoft.com/office/officeart/2008/layout/NameandTitleOrganizationalChart"/>
    <dgm:cxn modelId="{4825E918-3622-48C4-85BD-AE63AFCA2E09}" type="presParOf" srcId="{49E3A701-34D8-4852-976B-E237D46BAE2F}" destId="{0BF1F1E6-C946-45DC-B9B1-D96F78E51C3B}" srcOrd="0" destOrd="0" presId="urn:microsoft.com/office/officeart/2008/layout/NameandTitleOrganizationalChart"/>
    <dgm:cxn modelId="{F4881BFD-F743-4F26-AA89-314A640E6C0B}" type="presParOf" srcId="{0BF1F1E6-C946-45DC-B9B1-D96F78E51C3B}" destId="{20E28753-FF9C-4347-96BE-3E7E8CFD7E52}" srcOrd="0" destOrd="0" presId="urn:microsoft.com/office/officeart/2008/layout/NameandTitleOrganizationalChart"/>
    <dgm:cxn modelId="{3C5CCC52-0785-4009-882B-4ACA58B18743}" type="presParOf" srcId="{0BF1F1E6-C946-45DC-B9B1-D96F78E51C3B}" destId="{29AB3DB3-5A65-4F42-857F-E63768FACFEA}" srcOrd="1" destOrd="0" presId="urn:microsoft.com/office/officeart/2008/layout/NameandTitleOrganizationalChart"/>
    <dgm:cxn modelId="{C6778F0C-B023-4B8C-9ED7-39944A650D5D}" type="presParOf" srcId="{0BF1F1E6-C946-45DC-B9B1-D96F78E51C3B}" destId="{AFB81404-0938-4818-8013-3060C088C2E6}" srcOrd="2" destOrd="0" presId="urn:microsoft.com/office/officeart/2008/layout/NameandTitleOrganizationalChart"/>
    <dgm:cxn modelId="{853EA829-6166-4360-998F-CF19D7C9C1F5}" type="presParOf" srcId="{49E3A701-34D8-4852-976B-E237D46BAE2F}" destId="{F45AA827-1C23-407D-99D6-C98BEBECAEB9}" srcOrd="1" destOrd="0" presId="urn:microsoft.com/office/officeart/2008/layout/NameandTitleOrganizationalChart"/>
    <dgm:cxn modelId="{12E606B9-DDB4-4BB7-8009-99F988D3498E}" type="presParOf" srcId="{49E3A701-34D8-4852-976B-E237D46BAE2F}" destId="{4FD04919-5E09-4432-A567-5097BA9347F9}" srcOrd="2" destOrd="0" presId="urn:microsoft.com/office/officeart/2008/layout/NameandTitleOrganizationalChart"/>
    <dgm:cxn modelId="{2177231D-1E06-4B61-8FD0-9FC54B8655EB}" type="presParOf" srcId="{21CF50DC-94E4-49BA-893D-952B2BF29FEC}" destId="{9734CA0D-296D-4ADE-BFF8-3BC2512A6C2E}" srcOrd="2" destOrd="0" presId="urn:microsoft.com/office/officeart/2008/layout/NameandTitleOrganizationalChart"/>
    <dgm:cxn modelId="{D756AE3A-4868-4BA6-A947-4418DF67AB70}" type="presParOf" srcId="{9734CA0D-296D-4ADE-BFF8-3BC2512A6C2E}" destId="{A6C5B26B-AAD4-4872-82E0-753746DFE58A}" srcOrd="0" destOrd="0" presId="urn:microsoft.com/office/officeart/2008/layout/NameandTitleOrganizationalChart"/>
    <dgm:cxn modelId="{3EDD7C92-1187-4184-A4EE-6FE06947C9CD}" type="presParOf" srcId="{9734CA0D-296D-4ADE-BFF8-3BC2512A6C2E}" destId="{FD58FFA0-4F94-4A43-9A4A-334B0E0AEE6C}" srcOrd="1" destOrd="0" presId="urn:microsoft.com/office/officeart/2008/layout/NameandTitleOrganizationalChart"/>
    <dgm:cxn modelId="{6A93A195-C8E2-4521-97AA-0FCDBFDA3729}" type="presParOf" srcId="{FD58FFA0-4F94-4A43-9A4A-334B0E0AEE6C}" destId="{7AFBCB44-69D8-4275-81D0-6B2309D6BE61}" srcOrd="0" destOrd="0" presId="urn:microsoft.com/office/officeart/2008/layout/NameandTitleOrganizationalChart"/>
    <dgm:cxn modelId="{4431CB67-6410-4FAC-814F-804DF4E82C03}" type="presParOf" srcId="{7AFBCB44-69D8-4275-81D0-6B2309D6BE61}" destId="{8AF30C38-C88B-402E-9466-BF85AB27006B}" srcOrd="0" destOrd="0" presId="urn:microsoft.com/office/officeart/2008/layout/NameandTitleOrganizationalChart"/>
    <dgm:cxn modelId="{D0F3454B-01FB-4BF6-8A04-BB637B5FCE24}" type="presParOf" srcId="{7AFBCB44-69D8-4275-81D0-6B2309D6BE61}" destId="{6F6AF58D-9666-4946-9AD4-F5B3C5B57750}" srcOrd="1" destOrd="0" presId="urn:microsoft.com/office/officeart/2008/layout/NameandTitleOrganizationalChart"/>
    <dgm:cxn modelId="{90D8A527-D65B-4EFE-8954-EBC986ADAA82}" type="presParOf" srcId="{7AFBCB44-69D8-4275-81D0-6B2309D6BE61}" destId="{36AC7E4B-37B9-4B9C-9AAC-E59072462345}" srcOrd="2" destOrd="0" presId="urn:microsoft.com/office/officeart/2008/layout/NameandTitleOrganizationalChart"/>
    <dgm:cxn modelId="{2AD3D25C-3785-4253-8DDF-D897A90DB6C8}" type="presParOf" srcId="{FD58FFA0-4F94-4A43-9A4A-334B0E0AEE6C}" destId="{49073617-5997-461D-80B9-94AF47CC3D43}" srcOrd="1" destOrd="0" presId="urn:microsoft.com/office/officeart/2008/layout/NameandTitleOrganizationalChart"/>
    <dgm:cxn modelId="{1765F634-DF28-4DD5-B50D-72D27E3BCFCC}" type="presParOf" srcId="{FD58FFA0-4F94-4A43-9A4A-334B0E0AEE6C}" destId="{B3E95858-B034-47BC-AB97-EF15BA3F5DDD}" srcOrd="2" destOrd="0" presId="urn:microsoft.com/office/officeart/2008/layout/NameandTitleOrganizationalChar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6C5B26B-AAD4-4872-82E0-753746DFE58A}">
      <dsp:nvSpPr>
        <dsp:cNvPr id="0" name=""/>
        <dsp:cNvSpPr/>
      </dsp:nvSpPr>
      <dsp:spPr>
        <a:xfrm>
          <a:off x="11065163" y="855722"/>
          <a:ext cx="282223" cy="922007"/>
        </a:xfrm>
        <a:custGeom>
          <a:avLst/>
          <a:gdLst/>
          <a:ahLst/>
          <a:cxnLst/>
          <a:rect l="0" t="0" r="0" b="0"/>
          <a:pathLst>
            <a:path>
              <a:moveTo>
                <a:pt x="282223" y="0"/>
              </a:moveTo>
              <a:lnTo>
                <a:pt x="282223" y="922007"/>
              </a:lnTo>
              <a:lnTo>
                <a:pt x="0" y="9220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2ECE018-31A0-47F6-A353-CDCF2AF9FEA6}">
      <dsp:nvSpPr>
        <dsp:cNvPr id="0" name=""/>
        <dsp:cNvSpPr/>
      </dsp:nvSpPr>
      <dsp:spPr>
        <a:xfrm>
          <a:off x="11347386" y="855722"/>
          <a:ext cx="7204321" cy="18440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644405"/>
              </a:lnTo>
              <a:lnTo>
                <a:pt x="7204321" y="1644405"/>
              </a:lnTo>
              <a:lnTo>
                <a:pt x="7204321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A0F4696-F4EA-4602-8C20-5EDE054085B8}">
      <dsp:nvSpPr>
        <dsp:cNvPr id="0" name=""/>
        <dsp:cNvSpPr/>
      </dsp:nvSpPr>
      <dsp:spPr>
        <a:xfrm>
          <a:off x="16289273" y="3555209"/>
          <a:ext cx="91440" cy="494272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DCCD72-2661-4AD3-B67A-961BF2CE624E}">
      <dsp:nvSpPr>
        <dsp:cNvPr id="0" name=""/>
        <dsp:cNvSpPr/>
      </dsp:nvSpPr>
      <dsp:spPr>
        <a:xfrm>
          <a:off x="11347386" y="855722"/>
          <a:ext cx="4987607" cy="18440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644405"/>
              </a:lnTo>
              <a:lnTo>
                <a:pt x="4987607" y="1644405"/>
              </a:lnTo>
              <a:lnTo>
                <a:pt x="4987607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941EA5C-AA18-4A57-9717-CF31B51F23B2}">
      <dsp:nvSpPr>
        <dsp:cNvPr id="0" name=""/>
        <dsp:cNvSpPr/>
      </dsp:nvSpPr>
      <dsp:spPr>
        <a:xfrm>
          <a:off x="14072559" y="4904952"/>
          <a:ext cx="91440" cy="494272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C528F1E-2938-451F-89C3-752CBB728523}">
      <dsp:nvSpPr>
        <dsp:cNvPr id="0" name=""/>
        <dsp:cNvSpPr/>
      </dsp:nvSpPr>
      <dsp:spPr>
        <a:xfrm>
          <a:off x="14072559" y="3555209"/>
          <a:ext cx="91440" cy="494272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B3F7E34-DD23-4826-8EDA-E7056A0042BF}">
      <dsp:nvSpPr>
        <dsp:cNvPr id="0" name=""/>
        <dsp:cNvSpPr/>
      </dsp:nvSpPr>
      <dsp:spPr>
        <a:xfrm>
          <a:off x="11347386" y="855722"/>
          <a:ext cx="2770892" cy="18440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644405"/>
              </a:lnTo>
              <a:lnTo>
                <a:pt x="2770892" y="1644405"/>
              </a:lnTo>
              <a:lnTo>
                <a:pt x="2770892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E43B6FA-C70C-4A24-9663-3BE53A278CD5}">
      <dsp:nvSpPr>
        <dsp:cNvPr id="0" name=""/>
        <dsp:cNvSpPr/>
      </dsp:nvSpPr>
      <dsp:spPr>
        <a:xfrm>
          <a:off x="11855845" y="4904952"/>
          <a:ext cx="91440" cy="494272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10AB606-0FED-4F6E-ACD9-B25891BFD064}">
      <dsp:nvSpPr>
        <dsp:cNvPr id="0" name=""/>
        <dsp:cNvSpPr/>
      </dsp:nvSpPr>
      <dsp:spPr>
        <a:xfrm>
          <a:off x="11855845" y="3555209"/>
          <a:ext cx="91440" cy="494272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ED2ECC6-9528-46D8-8737-C9A686627788}">
      <dsp:nvSpPr>
        <dsp:cNvPr id="0" name=""/>
        <dsp:cNvSpPr/>
      </dsp:nvSpPr>
      <dsp:spPr>
        <a:xfrm>
          <a:off x="11347386" y="855722"/>
          <a:ext cx="554178" cy="18440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644405"/>
              </a:lnTo>
              <a:lnTo>
                <a:pt x="554178" y="1644405"/>
              </a:lnTo>
              <a:lnTo>
                <a:pt x="554178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1EFCDA62-B55C-48A2-A24A-4E979D59439F}">
      <dsp:nvSpPr>
        <dsp:cNvPr id="0" name=""/>
        <dsp:cNvSpPr/>
      </dsp:nvSpPr>
      <dsp:spPr>
        <a:xfrm>
          <a:off x="8576493" y="3555209"/>
          <a:ext cx="1108357" cy="494272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94662"/>
              </a:lnTo>
              <a:lnTo>
                <a:pt x="1108357" y="294662"/>
              </a:lnTo>
              <a:lnTo>
                <a:pt x="1108357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CCF2C40-838D-439F-B1B0-E209FA11A2E5}">
      <dsp:nvSpPr>
        <dsp:cNvPr id="0" name=""/>
        <dsp:cNvSpPr/>
      </dsp:nvSpPr>
      <dsp:spPr>
        <a:xfrm>
          <a:off x="7468136" y="3555209"/>
          <a:ext cx="1108357" cy="494272"/>
        </a:xfrm>
        <a:custGeom>
          <a:avLst/>
          <a:gdLst/>
          <a:ahLst/>
          <a:cxnLst/>
          <a:rect l="0" t="0" r="0" b="0"/>
          <a:pathLst>
            <a:path>
              <a:moveTo>
                <a:pt x="1108357" y="0"/>
              </a:moveTo>
              <a:lnTo>
                <a:pt x="1108357" y="294662"/>
              </a:lnTo>
              <a:lnTo>
                <a:pt x="0" y="294662"/>
              </a:lnTo>
              <a:lnTo>
                <a:pt x="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D1A75D6-8A91-4383-BB87-33DF94CFDC69}">
      <dsp:nvSpPr>
        <dsp:cNvPr id="0" name=""/>
        <dsp:cNvSpPr/>
      </dsp:nvSpPr>
      <dsp:spPr>
        <a:xfrm>
          <a:off x="8576493" y="855722"/>
          <a:ext cx="2770892" cy="1844015"/>
        </a:xfrm>
        <a:custGeom>
          <a:avLst/>
          <a:gdLst/>
          <a:ahLst/>
          <a:cxnLst/>
          <a:rect l="0" t="0" r="0" b="0"/>
          <a:pathLst>
            <a:path>
              <a:moveTo>
                <a:pt x="2770892" y="0"/>
              </a:moveTo>
              <a:lnTo>
                <a:pt x="2770892" y="1644405"/>
              </a:lnTo>
              <a:lnTo>
                <a:pt x="0" y="1644405"/>
              </a:lnTo>
              <a:lnTo>
                <a:pt x="0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2B6B6E7-F140-4C70-A1FE-60635A4D942A}">
      <dsp:nvSpPr>
        <dsp:cNvPr id="0" name=""/>
        <dsp:cNvSpPr/>
      </dsp:nvSpPr>
      <dsp:spPr>
        <a:xfrm>
          <a:off x="6359779" y="855722"/>
          <a:ext cx="4987607" cy="1844015"/>
        </a:xfrm>
        <a:custGeom>
          <a:avLst/>
          <a:gdLst/>
          <a:ahLst/>
          <a:cxnLst/>
          <a:rect l="0" t="0" r="0" b="0"/>
          <a:pathLst>
            <a:path>
              <a:moveTo>
                <a:pt x="4987607" y="0"/>
              </a:moveTo>
              <a:lnTo>
                <a:pt x="4987607" y="1644405"/>
              </a:lnTo>
              <a:lnTo>
                <a:pt x="0" y="1644405"/>
              </a:lnTo>
              <a:lnTo>
                <a:pt x="0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64877F1-A5C1-4B2F-A374-28E41C8C77D0}">
      <dsp:nvSpPr>
        <dsp:cNvPr id="0" name=""/>
        <dsp:cNvSpPr/>
      </dsp:nvSpPr>
      <dsp:spPr>
        <a:xfrm>
          <a:off x="4097344" y="3555209"/>
          <a:ext cx="91440" cy="494272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494272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FD2AD9F-0131-4DE1-8CC2-661821368079}">
      <dsp:nvSpPr>
        <dsp:cNvPr id="0" name=""/>
        <dsp:cNvSpPr/>
      </dsp:nvSpPr>
      <dsp:spPr>
        <a:xfrm>
          <a:off x="4143064" y="855722"/>
          <a:ext cx="7204321" cy="1844015"/>
        </a:xfrm>
        <a:custGeom>
          <a:avLst/>
          <a:gdLst/>
          <a:ahLst/>
          <a:cxnLst/>
          <a:rect l="0" t="0" r="0" b="0"/>
          <a:pathLst>
            <a:path>
              <a:moveTo>
                <a:pt x="7204321" y="0"/>
              </a:moveTo>
              <a:lnTo>
                <a:pt x="7204321" y="1644405"/>
              </a:lnTo>
              <a:lnTo>
                <a:pt x="0" y="1644405"/>
              </a:lnTo>
              <a:lnTo>
                <a:pt x="0" y="1844015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35C57EF-08A8-47D7-B8A3-4C5357C4CEE3}">
      <dsp:nvSpPr>
        <dsp:cNvPr id="0" name=""/>
        <dsp:cNvSpPr/>
      </dsp:nvSpPr>
      <dsp:spPr>
        <a:xfrm>
          <a:off x="10521252" y="25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Phase 1 </a:t>
          </a:r>
        </a:p>
      </dsp:txBody>
      <dsp:txXfrm>
        <a:off x="10521252" y="251"/>
        <a:ext cx="1652267" cy="855471"/>
      </dsp:txXfrm>
    </dsp:sp>
    <dsp:sp modelId="{07ECEEB5-041B-40F7-877E-856026647631}">
      <dsp:nvSpPr>
        <dsp:cNvPr id="0" name=""/>
        <dsp:cNvSpPr/>
      </dsp:nvSpPr>
      <dsp:spPr>
        <a:xfrm>
          <a:off x="10851706" y="665618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sp:txBody>
      <dsp:txXfrm>
        <a:off x="10851706" y="665618"/>
        <a:ext cx="1487041" cy="285157"/>
      </dsp:txXfrm>
    </dsp:sp>
    <dsp:sp modelId="{6131A3ED-5D65-45D8-A611-89974AF80D08}">
      <dsp:nvSpPr>
        <dsp:cNvPr id="0" name=""/>
        <dsp:cNvSpPr/>
      </dsp:nvSpPr>
      <dsp:spPr>
        <a:xfrm>
          <a:off x="3316930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3316930" y="2699738"/>
        <a:ext cx="1652267" cy="855471"/>
      </dsp:txXfrm>
    </dsp:sp>
    <dsp:sp modelId="{8FA26709-29AA-4753-A84E-9F44F2FD7FAB}">
      <dsp:nvSpPr>
        <dsp:cNvPr id="0" name=""/>
        <dsp:cNvSpPr/>
      </dsp:nvSpPr>
      <dsp:spPr>
        <a:xfrm>
          <a:off x="3647384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Sophia</a:t>
          </a:r>
        </a:p>
      </dsp:txBody>
      <dsp:txXfrm>
        <a:off x="3647384" y="3365104"/>
        <a:ext cx="1487041" cy="285157"/>
      </dsp:txXfrm>
    </dsp:sp>
    <dsp:sp modelId="{7EDABBF6-94F6-4F1A-BCE4-67BE1B87A914}">
      <dsp:nvSpPr>
        <dsp:cNvPr id="0" name=""/>
        <dsp:cNvSpPr/>
      </dsp:nvSpPr>
      <dsp:spPr>
        <a:xfrm>
          <a:off x="3316930" y="404948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3 Description</a:t>
          </a:r>
        </a:p>
      </dsp:txBody>
      <dsp:txXfrm>
        <a:off x="3316930" y="4049481"/>
        <a:ext cx="1652267" cy="855471"/>
      </dsp:txXfrm>
    </dsp:sp>
    <dsp:sp modelId="{A1A2A2E6-C24A-464B-A2C4-D3ED4F8F2630}">
      <dsp:nvSpPr>
        <dsp:cNvPr id="0" name=""/>
        <dsp:cNvSpPr/>
      </dsp:nvSpPr>
      <dsp:spPr>
        <a:xfrm>
          <a:off x="3647384" y="4714847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3647384" y="4714847"/>
        <a:ext cx="1487041" cy="285157"/>
      </dsp:txXfrm>
    </dsp:sp>
    <dsp:sp modelId="{4989D0DD-E81E-4140-B584-B6863E1673F4}">
      <dsp:nvSpPr>
        <dsp:cNvPr id="0" name=""/>
        <dsp:cNvSpPr/>
      </dsp:nvSpPr>
      <dsp:spPr>
        <a:xfrm>
          <a:off x="5533645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5533645" y="2699738"/>
        <a:ext cx="1652267" cy="855471"/>
      </dsp:txXfrm>
    </dsp:sp>
    <dsp:sp modelId="{8A100DDD-6AFE-43C4-9791-2D703994052A}">
      <dsp:nvSpPr>
        <dsp:cNvPr id="0" name=""/>
        <dsp:cNvSpPr/>
      </dsp:nvSpPr>
      <dsp:spPr>
        <a:xfrm>
          <a:off x="5864098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5864098" y="3365104"/>
        <a:ext cx="1487041" cy="285157"/>
      </dsp:txXfrm>
    </dsp:sp>
    <dsp:sp modelId="{4C686AA8-23C1-48AA-A863-CFEB4C692EEF}">
      <dsp:nvSpPr>
        <dsp:cNvPr id="0" name=""/>
        <dsp:cNvSpPr/>
      </dsp:nvSpPr>
      <dsp:spPr>
        <a:xfrm>
          <a:off x="7750359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7750359" y="2699738"/>
        <a:ext cx="1652267" cy="855471"/>
      </dsp:txXfrm>
    </dsp:sp>
    <dsp:sp modelId="{B45007D9-1991-4640-8BBB-A0F6637130C7}">
      <dsp:nvSpPr>
        <dsp:cNvPr id="0" name=""/>
        <dsp:cNvSpPr/>
      </dsp:nvSpPr>
      <dsp:spPr>
        <a:xfrm>
          <a:off x="8080813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8080813" y="3365104"/>
        <a:ext cx="1487041" cy="285157"/>
      </dsp:txXfrm>
    </dsp:sp>
    <dsp:sp modelId="{422C7A9E-2BB9-430B-9180-9F276C7D30B2}">
      <dsp:nvSpPr>
        <dsp:cNvPr id="0" name=""/>
        <dsp:cNvSpPr/>
      </dsp:nvSpPr>
      <dsp:spPr>
        <a:xfrm>
          <a:off x="6642002" y="404948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3 Description</a:t>
          </a:r>
        </a:p>
      </dsp:txBody>
      <dsp:txXfrm>
        <a:off x="6642002" y="4049481"/>
        <a:ext cx="1652267" cy="855471"/>
      </dsp:txXfrm>
    </dsp:sp>
    <dsp:sp modelId="{F606E186-6D3F-4D50-BBC2-00915BD122EA}">
      <dsp:nvSpPr>
        <dsp:cNvPr id="0" name=""/>
        <dsp:cNvSpPr/>
      </dsp:nvSpPr>
      <dsp:spPr>
        <a:xfrm>
          <a:off x="6972456" y="4714847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6972456" y="4714847"/>
        <a:ext cx="1487041" cy="285157"/>
      </dsp:txXfrm>
    </dsp:sp>
    <dsp:sp modelId="{40DA7A7D-98C5-4EC9-9199-AB3AA309F4FD}">
      <dsp:nvSpPr>
        <dsp:cNvPr id="0" name=""/>
        <dsp:cNvSpPr/>
      </dsp:nvSpPr>
      <dsp:spPr>
        <a:xfrm>
          <a:off x="8858716" y="404948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3 Description</a:t>
          </a:r>
        </a:p>
      </dsp:txBody>
      <dsp:txXfrm>
        <a:off x="8858716" y="4049481"/>
        <a:ext cx="1652267" cy="855471"/>
      </dsp:txXfrm>
    </dsp:sp>
    <dsp:sp modelId="{25533EBF-73F3-4CAA-A59A-48DD84DE108D}">
      <dsp:nvSpPr>
        <dsp:cNvPr id="0" name=""/>
        <dsp:cNvSpPr/>
      </dsp:nvSpPr>
      <dsp:spPr>
        <a:xfrm>
          <a:off x="9189170" y="4714847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9189170" y="4714847"/>
        <a:ext cx="1487041" cy="285157"/>
      </dsp:txXfrm>
    </dsp:sp>
    <dsp:sp modelId="{C0D8B78A-41A9-4B9B-A35C-24FCD2A6A4F9}">
      <dsp:nvSpPr>
        <dsp:cNvPr id="0" name=""/>
        <dsp:cNvSpPr/>
      </dsp:nvSpPr>
      <dsp:spPr>
        <a:xfrm>
          <a:off x="11075431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11075431" y="2699738"/>
        <a:ext cx="1652267" cy="855471"/>
      </dsp:txXfrm>
    </dsp:sp>
    <dsp:sp modelId="{8A08EC9D-2A4C-4F24-AA5A-0F7CB5F96DB5}">
      <dsp:nvSpPr>
        <dsp:cNvPr id="0" name=""/>
        <dsp:cNvSpPr/>
      </dsp:nvSpPr>
      <dsp:spPr>
        <a:xfrm>
          <a:off x="11405884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11405884" y="3365104"/>
        <a:ext cx="1487041" cy="285157"/>
      </dsp:txXfrm>
    </dsp:sp>
    <dsp:sp modelId="{878415FD-E9F7-45B8-984D-E8F235A53BFE}">
      <dsp:nvSpPr>
        <dsp:cNvPr id="0" name=""/>
        <dsp:cNvSpPr/>
      </dsp:nvSpPr>
      <dsp:spPr>
        <a:xfrm>
          <a:off x="11075431" y="404948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3 Description</a:t>
          </a:r>
        </a:p>
      </dsp:txBody>
      <dsp:txXfrm>
        <a:off x="11075431" y="4049481"/>
        <a:ext cx="1652267" cy="855471"/>
      </dsp:txXfrm>
    </dsp:sp>
    <dsp:sp modelId="{5465DF4B-A883-464D-B11E-8D07498434E3}">
      <dsp:nvSpPr>
        <dsp:cNvPr id="0" name=""/>
        <dsp:cNvSpPr/>
      </dsp:nvSpPr>
      <dsp:spPr>
        <a:xfrm>
          <a:off x="11405884" y="4714847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Lucia</a:t>
          </a:r>
        </a:p>
      </dsp:txBody>
      <dsp:txXfrm>
        <a:off x="11405884" y="4714847"/>
        <a:ext cx="1487041" cy="285157"/>
      </dsp:txXfrm>
    </dsp:sp>
    <dsp:sp modelId="{7F26CDAA-A2DD-4B02-9000-6FE138CC6036}">
      <dsp:nvSpPr>
        <dsp:cNvPr id="0" name=""/>
        <dsp:cNvSpPr/>
      </dsp:nvSpPr>
      <dsp:spPr>
        <a:xfrm>
          <a:off x="11075431" y="5399224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4 Description</a:t>
          </a:r>
        </a:p>
      </dsp:txBody>
      <dsp:txXfrm>
        <a:off x="11075431" y="5399224"/>
        <a:ext cx="1652267" cy="855471"/>
      </dsp:txXfrm>
    </dsp:sp>
    <dsp:sp modelId="{BCD4D81B-5F9D-4DDA-B8E9-AC375FF09135}">
      <dsp:nvSpPr>
        <dsp:cNvPr id="0" name=""/>
        <dsp:cNvSpPr/>
      </dsp:nvSpPr>
      <dsp:spPr>
        <a:xfrm>
          <a:off x="11405884" y="6064591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sp:txBody>
      <dsp:txXfrm>
        <a:off x="11405884" y="6064591"/>
        <a:ext cx="1487041" cy="285157"/>
      </dsp:txXfrm>
    </dsp:sp>
    <dsp:sp modelId="{BDFA2BCB-8F7A-4F85-A55E-1F44F368380C}">
      <dsp:nvSpPr>
        <dsp:cNvPr id="0" name=""/>
        <dsp:cNvSpPr/>
      </dsp:nvSpPr>
      <dsp:spPr>
        <a:xfrm>
          <a:off x="13292145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13292145" y="2699738"/>
        <a:ext cx="1652267" cy="855471"/>
      </dsp:txXfrm>
    </dsp:sp>
    <dsp:sp modelId="{4B37AF9B-4D95-437E-8B07-071A94FF5771}">
      <dsp:nvSpPr>
        <dsp:cNvPr id="0" name=""/>
        <dsp:cNvSpPr/>
      </dsp:nvSpPr>
      <dsp:spPr>
        <a:xfrm>
          <a:off x="13622599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Sophia</a:t>
          </a:r>
        </a:p>
      </dsp:txBody>
      <dsp:txXfrm>
        <a:off x="13622599" y="3365104"/>
        <a:ext cx="1487041" cy="285157"/>
      </dsp:txXfrm>
    </dsp:sp>
    <dsp:sp modelId="{2C34178F-A823-497F-816E-B83475D1C507}">
      <dsp:nvSpPr>
        <dsp:cNvPr id="0" name=""/>
        <dsp:cNvSpPr/>
      </dsp:nvSpPr>
      <dsp:spPr>
        <a:xfrm>
          <a:off x="13292145" y="404948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3 Description</a:t>
          </a:r>
        </a:p>
      </dsp:txBody>
      <dsp:txXfrm>
        <a:off x="13292145" y="4049481"/>
        <a:ext cx="1652267" cy="855471"/>
      </dsp:txXfrm>
    </dsp:sp>
    <dsp:sp modelId="{FC95823F-086E-4C7A-AAEE-7F55D34064BC}">
      <dsp:nvSpPr>
        <dsp:cNvPr id="0" name=""/>
        <dsp:cNvSpPr/>
      </dsp:nvSpPr>
      <dsp:spPr>
        <a:xfrm>
          <a:off x="13622599" y="4714847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Lucia</a:t>
          </a:r>
        </a:p>
      </dsp:txBody>
      <dsp:txXfrm>
        <a:off x="13622599" y="4714847"/>
        <a:ext cx="1487041" cy="285157"/>
      </dsp:txXfrm>
    </dsp:sp>
    <dsp:sp modelId="{A95A908F-7A98-4DE1-BCCB-BFD2B34C4CCA}">
      <dsp:nvSpPr>
        <dsp:cNvPr id="0" name=""/>
        <dsp:cNvSpPr/>
      </dsp:nvSpPr>
      <dsp:spPr>
        <a:xfrm>
          <a:off x="13292145" y="5399224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4 Description</a:t>
          </a:r>
        </a:p>
      </dsp:txBody>
      <dsp:txXfrm>
        <a:off x="13292145" y="5399224"/>
        <a:ext cx="1652267" cy="855471"/>
      </dsp:txXfrm>
    </dsp:sp>
    <dsp:sp modelId="{744E103E-3E3D-479D-A78B-B066187063F8}">
      <dsp:nvSpPr>
        <dsp:cNvPr id="0" name=""/>
        <dsp:cNvSpPr/>
      </dsp:nvSpPr>
      <dsp:spPr>
        <a:xfrm>
          <a:off x="13622599" y="6064591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sp:txBody>
      <dsp:txXfrm>
        <a:off x="13622599" y="6064591"/>
        <a:ext cx="1487041" cy="285157"/>
      </dsp:txXfrm>
    </dsp:sp>
    <dsp:sp modelId="{8170E46F-BCE3-4036-828D-266832036069}">
      <dsp:nvSpPr>
        <dsp:cNvPr id="0" name=""/>
        <dsp:cNvSpPr/>
      </dsp:nvSpPr>
      <dsp:spPr>
        <a:xfrm>
          <a:off x="15508860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15508860" y="2699738"/>
        <a:ext cx="1652267" cy="855471"/>
      </dsp:txXfrm>
    </dsp:sp>
    <dsp:sp modelId="{889B1E2F-9703-4158-B093-6874AEA07EFA}">
      <dsp:nvSpPr>
        <dsp:cNvPr id="0" name=""/>
        <dsp:cNvSpPr/>
      </dsp:nvSpPr>
      <dsp:spPr>
        <a:xfrm>
          <a:off x="15839313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Sophia</a:t>
          </a:r>
        </a:p>
      </dsp:txBody>
      <dsp:txXfrm>
        <a:off x="15839313" y="3365104"/>
        <a:ext cx="1487041" cy="285157"/>
      </dsp:txXfrm>
    </dsp:sp>
    <dsp:sp modelId="{D5FDD2CF-3AAB-4494-9511-E558CB844196}">
      <dsp:nvSpPr>
        <dsp:cNvPr id="0" name=""/>
        <dsp:cNvSpPr/>
      </dsp:nvSpPr>
      <dsp:spPr>
        <a:xfrm>
          <a:off x="15508860" y="4049481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3 Description</a:t>
          </a:r>
        </a:p>
      </dsp:txBody>
      <dsp:txXfrm>
        <a:off x="15508860" y="4049481"/>
        <a:ext cx="1652267" cy="855471"/>
      </dsp:txXfrm>
    </dsp:sp>
    <dsp:sp modelId="{481D6A11-23FA-4EAC-BB79-20027AA24744}">
      <dsp:nvSpPr>
        <dsp:cNvPr id="0" name=""/>
        <dsp:cNvSpPr/>
      </dsp:nvSpPr>
      <dsp:spPr>
        <a:xfrm>
          <a:off x="15839313" y="4714847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Lucia</a:t>
          </a:r>
        </a:p>
      </dsp:txBody>
      <dsp:txXfrm>
        <a:off x="15839313" y="4714847"/>
        <a:ext cx="1487041" cy="285157"/>
      </dsp:txXfrm>
    </dsp:sp>
    <dsp:sp modelId="{20E28753-FF9C-4347-96BE-3E7E8CFD7E52}">
      <dsp:nvSpPr>
        <dsp:cNvPr id="0" name=""/>
        <dsp:cNvSpPr/>
      </dsp:nvSpPr>
      <dsp:spPr>
        <a:xfrm>
          <a:off x="17725574" y="2699738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17725574" y="2699738"/>
        <a:ext cx="1652267" cy="855471"/>
      </dsp:txXfrm>
    </dsp:sp>
    <dsp:sp modelId="{29AB3DB3-5A65-4F42-857F-E63768FACFEA}">
      <dsp:nvSpPr>
        <dsp:cNvPr id="0" name=""/>
        <dsp:cNvSpPr/>
      </dsp:nvSpPr>
      <dsp:spPr>
        <a:xfrm>
          <a:off x="18056028" y="3365104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1000" kern="1200">
              <a:solidFill>
                <a:srgbClr val="00008B"/>
              </a:solidFill>
              <a:latin typeface="Calibri" panose="020F0502020204030204" pitchFamily="34" charset="0"/>
            </a:rPr>
            <a:t>Diana</a:t>
          </a:r>
        </a:p>
      </dsp:txBody>
      <dsp:txXfrm>
        <a:off x="18056028" y="3365104"/>
        <a:ext cx="1487041" cy="285157"/>
      </dsp:txXfrm>
    </dsp:sp>
    <dsp:sp modelId="{8AF30C38-C88B-402E-9466-BF85AB27006B}">
      <dsp:nvSpPr>
        <dsp:cNvPr id="0" name=""/>
        <dsp:cNvSpPr/>
      </dsp:nvSpPr>
      <dsp:spPr>
        <a:xfrm>
          <a:off x="9412895" y="1349995"/>
          <a:ext cx="1652267" cy="855471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120716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900" b="1" kern="1200">
              <a:solidFill>
                <a:srgbClr val="8B0000"/>
              </a:solidFill>
            </a:rPr>
            <a:t>Task Level 2 Description</a:t>
          </a:r>
        </a:p>
      </dsp:txBody>
      <dsp:txXfrm>
        <a:off x="9412895" y="1349995"/>
        <a:ext cx="1652267" cy="855471"/>
      </dsp:txXfrm>
    </dsp:sp>
    <dsp:sp modelId="{6F6AF58D-9666-4946-9AD4-F5B3C5B57750}">
      <dsp:nvSpPr>
        <dsp:cNvPr id="0" name=""/>
        <dsp:cNvSpPr/>
      </dsp:nvSpPr>
      <dsp:spPr>
        <a:xfrm>
          <a:off x="9743349" y="2015361"/>
          <a:ext cx="1487041" cy="285157"/>
        </a:xfrm>
        <a:prstGeom prst="rect">
          <a:avLst/>
        </a:prstGeom>
        <a:solidFill>
          <a:srgbClr val="FFFFFF"/>
        </a:solidFill>
        <a:ln w="12700" cap="flat" cmpd="sng" algn="ctr">
          <a:solidFill>
            <a:scrgbClr r="0" g="0" b="0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5400" tIns="6350" rIns="25400" bIns="635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fr-FR" sz="1000" kern="1200">
            <a:solidFill>
              <a:srgbClr val="00008B"/>
            </a:solidFill>
            <a:latin typeface="Calibri" panose="020F0502020204030204" pitchFamily="34" charset="0"/>
          </a:endParaRPr>
        </a:p>
      </dsp:txBody>
      <dsp:txXfrm>
        <a:off x="9743349" y="2015361"/>
        <a:ext cx="1487041" cy="285157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NameandTitleOrganizationalChart">
  <dgm:title val=""/>
  <dgm:desc val=""/>
  <dgm:catLst>
    <dgm:cat type="hierarchy" pri="125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Max/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h" fact="0.4"/>
              </dgm:constrLst>
              <dgm:ruleLst>
                <dgm:rule type="primFontSz" val="5" fact="NaN" max="NaN"/>
              </dgm:ruleLst>
            </dgm:layoutNode>
            <dgm:layoutNode name="titleText1" styleLbl="fgAcc0">
              <dgm:varLst>
                <dgm:chMax val="0"/>
                <dgm:chPref val="0"/>
              </dgm:varLst>
              <dgm:alg type="tx">
                <dgm:param type="parTxLTRAlign" val="r"/>
              </dgm:alg>
              <dgm:shape xmlns:r="http://schemas.openxmlformats.org/officeDocument/2006/relationships" type="rect" r:blip="">
                <dgm:adjLst/>
              </dgm:shape>
              <dgm:presOf axis="followSib" ptType="sibTrans" hideLastTrans="0" cnt="1"/>
              <dgm:constrLst>
                <dgm:constr type="primFontSz" val="65"/>
                <dgm:constr type="lMarg" refType="primFontSz" fact="0.2"/>
                <dgm:constr type="rMarg" refType="primFontSz" fact="0.2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1" func="var" arg="hierBranch" op="equ" val="hang">
                    <dgm:layoutNode name="Name42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3">
                    <dgm:layoutNode name="Name44">
                      <dgm:choose name="Name45">
                        <dgm:if name="Name46" axis="self" func="depth" op="lte" val="2">
                          <dgm:choose name="Name47">
                            <dgm:if name="Name4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4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0">
                          <dgm:choose name="Name51">
                            <dgm:if name="Name52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3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54">
                  <dgm:if name="Name55" func="var" arg="hierBranch" op="equ" val="l">
                    <dgm:choose name="Name56">
                      <dgm:if name="Name57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58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59" func="var" arg="hierBranch" op="equ" val="r">
                    <dgm:choose name="Name60">
                      <dgm:if name="Name61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2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3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64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65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66">
                    <dgm:if name="Name67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8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9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70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 styleLbl="node1">
                    <dgm:varLst>
                      <dgm:chMax/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2" styleLbl="fgAcc1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71">
                    <dgm:if name="Name72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73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74" func="var" arg="hierBranch" op="equ" val="hang">
                      <dgm:choose name="Name75">
                        <dgm:if name="Name76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77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78" func="var" arg="hierBranch" op="equ" val="std">
                      <dgm:choose name="Name79">
                        <dgm:if name="Name80" func="var" arg="dir" op="equ" val="norm">
                          <dgm:alg type="hierChild"/>
                        </dgm:if>
                        <dgm:else name="Name81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82" func="var" arg="hierBranch" op="equ" val="init">
                      <dgm:choose name="Name83">
                        <dgm:if name="Name84" func="var" arg="dir" op="equ" val="norm">
                          <dgm:alg type="hierChild"/>
                        </dgm:if>
                        <dgm:else name="Name85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else name="Name86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87" ref="rep2a"/>
                </dgm:layoutNode>
                <dgm:layoutNode name="hierChild5">
                  <dgm:choose name="Name88">
                    <dgm:if name="Name89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90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91" ref="rep2b"/>
                </dgm:layoutNode>
              </dgm:layoutNode>
            </dgm:forEach>
          </dgm:layoutNode>
          <dgm:layoutNode name="hierChild3">
            <dgm:choose name="Name92">
              <dgm:if name="Name93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94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95" axis="precedSib" ptType="parTrans" st="-1" cnt="1">
                <dgm:layoutNode name="Name96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97">
                  <dgm:if name="Name98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99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0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1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02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103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04">
                    <dgm:if name="Name105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6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7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08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 styleLbl="asst1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3" styleLbl="fgAcc2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09">
                    <dgm:if name="Name110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11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12" func="var" arg="hierBranch" op="equ" val="hang">
                      <dgm:choose name="Name113">
                        <dgm:if name="Name114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15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16" func="var" arg="hierBranch" op="equ" val="std">
                      <dgm:choose name="Name117">
                        <dgm:if name="Name118" func="var" arg="dir" op="equ" val="norm">
                          <dgm:alg type="hierChild"/>
                        </dgm:if>
                        <dgm:else name="Name119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20" func="var" arg="hierBranch" op="equ" val="init">
                      <dgm:alg type="hierChild"/>
                    </dgm:if>
                    <dgm:else name="Name12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2" ref="rep2a"/>
                </dgm:layoutNode>
                <dgm:layoutNode name="hierChild7">
                  <dgm:choose name="Name123">
                    <dgm:if name="Name12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2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6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510540</xdr:colOff>
      <xdr:row>1</xdr:row>
      <xdr:rowOff>60960</xdr:rowOff>
    </xdr:from>
    <xdr:to>
      <xdr:col>8</xdr:col>
      <xdr:colOff>1623060</xdr:colOff>
      <xdr:row>2</xdr:row>
      <xdr:rowOff>266700</xdr:rowOff>
    </xdr:to>
    <xdr:sp macro="[0]!Diagram_WB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60180" y="243840"/>
          <a:ext cx="1112520" cy="38862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Diagram WBS</a:t>
          </a:r>
        </a:p>
      </xdr:txBody>
    </xdr:sp>
    <xdr:clientData/>
  </xdr:twoCellAnchor>
  <xdr:twoCellAnchor>
    <xdr:from>
      <xdr:col>7</xdr:col>
      <xdr:colOff>114300</xdr:colOff>
      <xdr:row>1</xdr:row>
      <xdr:rowOff>60960</xdr:rowOff>
    </xdr:from>
    <xdr:to>
      <xdr:col>8</xdr:col>
      <xdr:colOff>22860</xdr:colOff>
      <xdr:row>2</xdr:row>
      <xdr:rowOff>259080</xdr:rowOff>
    </xdr:to>
    <xdr:sp macro="[0]!Add_new_task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91400" y="243840"/>
          <a:ext cx="1181100" cy="3810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Add task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477520</xdr:colOff>
      <xdr:row>6</xdr:row>
      <xdr:rowOff>172720</xdr:rowOff>
    </xdr:from>
    <xdr:to>
      <xdr:col>30</xdr:col>
      <xdr:colOff>355600</xdr:colOff>
      <xdr:row>41</xdr:row>
      <xdr:rowOff>121920</xdr:rowOff>
    </xdr:to>
    <xdr:graphicFrame macro="">
      <xdr:nvGraphicFramePr>
        <xdr:cNvPr id="2" name="Diagramm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22"/>
  <sheetViews>
    <sheetView showGridLines="0" workbookViewId="0">
      <selection activeCell="B8" sqref="B8"/>
    </sheetView>
  </sheetViews>
  <sheetFormatPr baseColWidth="10" defaultRowHeight="14.4" x14ac:dyDescent="0.3"/>
  <cols>
    <col min="2" max="2" width="13.21875" customWidth="1"/>
    <col min="3" max="3" width="20.88671875" customWidth="1"/>
    <col min="4" max="4" width="14.77734375" customWidth="1"/>
    <col min="5" max="5" width="17.44140625" customWidth="1"/>
    <col min="6" max="6" width="14.21875" customWidth="1"/>
    <col min="7" max="7" width="14" customWidth="1"/>
    <col min="8" max="8" width="18.5546875" customWidth="1"/>
    <col min="9" max="9" width="29.44140625" customWidth="1"/>
    <col min="10" max="10" width="29.33203125" customWidth="1"/>
    <col min="11" max="11" width="23.109375" customWidth="1"/>
  </cols>
  <sheetData>
    <row r="1" spans="1:11" x14ac:dyDescent="0.3">
      <c r="G1" s="1"/>
      <c r="H1" s="1"/>
      <c r="I1" s="1"/>
      <c r="J1" s="1"/>
      <c r="K1" s="1"/>
    </row>
    <row r="2" spans="1:11" x14ac:dyDescent="0.3">
      <c r="E2" s="2"/>
      <c r="G2" s="1"/>
      <c r="I2" s="1"/>
      <c r="J2" s="1"/>
      <c r="K2" s="1"/>
    </row>
    <row r="3" spans="1:11" ht="25.8" x14ac:dyDescent="0.3">
      <c r="E3" s="3" t="s">
        <v>0</v>
      </c>
      <c r="G3" s="1"/>
      <c r="H3" s="4"/>
      <c r="I3" s="1"/>
      <c r="J3" s="1"/>
      <c r="K3" s="1"/>
    </row>
    <row r="5" spans="1:11" ht="28.8" customHeight="1" x14ac:dyDescent="0.3">
      <c r="A5" s="5" t="s">
        <v>11</v>
      </c>
      <c r="B5" s="5" t="s">
        <v>1</v>
      </c>
      <c r="C5" s="6" t="s">
        <v>2</v>
      </c>
      <c r="D5" s="7" t="s">
        <v>3</v>
      </c>
      <c r="E5" s="6" t="s">
        <v>4</v>
      </c>
      <c r="F5" s="6" t="s">
        <v>5</v>
      </c>
      <c r="G5" s="6" t="s">
        <v>6</v>
      </c>
      <c r="H5" s="6" t="s">
        <v>7</v>
      </c>
      <c r="I5" s="6" t="s">
        <v>8</v>
      </c>
      <c r="J5" s="6" t="s">
        <v>9</v>
      </c>
      <c r="K5" s="8" t="s">
        <v>10</v>
      </c>
    </row>
    <row r="6" spans="1:11" ht="13.8" customHeight="1" x14ac:dyDescent="0.3">
      <c r="A6" s="9">
        <v>1</v>
      </c>
      <c r="B6" s="10" t="str">
        <f t="shared" ref="B6:B16" ca="1" si="0">IF(A6="","",IF(A6&gt;OFFSET(A6,-1,0,1,1),IF(OFFSET(B6,-1,0,1,1)="","1",OFFSET(B6,-1,0,1,1))&amp;REPT(".1",A6-MAX(OFFSET(A6,-1,0,1,1),1)),IF(ISERROR(FIND(".",OFFSET(B6,-1,0,1,1))),REPT("1.",A6-1)&amp;IFERROR(VALUE(OFFSET(B6,-1,0,1,1))+1,"1"),IF(A6=1,"",IFERROR(LEFT(OFFSET(B6,-1,0,1,1),FIND("^",SUBSTITUTE(OFFSET(B6,-1,0,1,1),".","^",A6-1))),""))&amp;VALUE(TRIM(MID(SUBSTITUTE(OFFSET(B6,-1,0,1,1),".",REPT(" ",LEN(OFFSET(B6,-1,0,1,1)))),(A6-1)*LEN(OFFSET(B6,-1,0,1,1))+1,LEN(OFFSET(B6,-1,0,1,1)))))+1)))</f>
        <v>1</v>
      </c>
      <c r="C6" s="9" t="str">
        <f t="shared" ref="C6:C14" ca="1" si="1">IF(A6=1,"Phase "&amp;B6&amp;" ","Task Level "&amp;A6&amp;" Description")</f>
        <v xml:space="preserve">Phase 1 </v>
      </c>
      <c r="D6" s="9" t="s">
        <v>12</v>
      </c>
      <c r="E6" s="9"/>
      <c r="F6" s="12">
        <v>0</v>
      </c>
      <c r="G6" s="11">
        <v>0</v>
      </c>
      <c r="H6" s="9"/>
      <c r="I6" s="9"/>
      <c r="J6" s="9"/>
      <c r="K6" s="9"/>
    </row>
    <row r="7" spans="1:11" ht="13.8" customHeight="1" x14ac:dyDescent="0.3">
      <c r="A7" s="9">
        <v>2</v>
      </c>
      <c r="B7" s="10" t="str">
        <f t="shared" ca="1" si="0"/>
        <v>1.1</v>
      </c>
      <c r="C7" s="9" t="str">
        <f t="shared" si="1"/>
        <v>Task Level 2 Description</v>
      </c>
      <c r="D7" s="9"/>
      <c r="E7" s="9"/>
      <c r="F7" s="12">
        <v>0</v>
      </c>
      <c r="G7" s="11">
        <v>0</v>
      </c>
      <c r="H7" s="9"/>
      <c r="I7" s="9"/>
      <c r="J7" s="9"/>
      <c r="K7" s="9"/>
    </row>
    <row r="8" spans="1:11" ht="13.8" customHeight="1" x14ac:dyDescent="0.3">
      <c r="A8" s="9">
        <v>2</v>
      </c>
      <c r="B8" s="10" t="str">
        <f t="shared" ca="1" si="0"/>
        <v>1.2</v>
      </c>
      <c r="C8" s="9" t="str">
        <f t="shared" si="1"/>
        <v>Task Level 2 Description</v>
      </c>
      <c r="D8" s="9" t="s">
        <v>13</v>
      </c>
      <c r="E8" s="9"/>
      <c r="F8" s="12">
        <v>0</v>
      </c>
      <c r="G8" s="11">
        <v>0</v>
      </c>
      <c r="H8" s="9"/>
      <c r="I8" s="9"/>
      <c r="J8" s="9"/>
      <c r="K8" s="9"/>
    </row>
    <row r="9" spans="1:11" ht="13.8" customHeight="1" x14ac:dyDescent="0.3">
      <c r="A9" s="9">
        <v>3</v>
      </c>
      <c r="B9" s="10" t="str">
        <f t="shared" ca="1" si="0"/>
        <v>1.2.1</v>
      </c>
      <c r="C9" s="9" t="str">
        <f t="shared" si="1"/>
        <v>Task Level 3 Description</v>
      </c>
      <c r="D9" s="9"/>
      <c r="E9" s="9"/>
      <c r="F9" s="12">
        <v>0</v>
      </c>
      <c r="G9" s="11">
        <v>0</v>
      </c>
      <c r="H9" s="9"/>
      <c r="I9" s="9"/>
      <c r="J9" s="9"/>
      <c r="K9" s="9"/>
    </row>
    <row r="10" spans="1:11" ht="13.8" customHeight="1" x14ac:dyDescent="0.3">
      <c r="A10" s="9">
        <v>2</v>
      </c>
      <c r="B10" s="10" t="str">
        <f t="shared" ca="1" si="0"/>
        <v>1.3</v>
      </c>
      <c r="C10" s="9" t="str">
        <f t="shared" si="1"/>
        <v>Task Level 2 Description</v>
      </c>
      <c r="D10" s="9"/>
      <c r="E10" s="9"/>
      <c r="F10" s="12">
        <v>0</v>
      </c>
      <c r="G10" s="11">
        <v>0</v>
      </c>
      <c r="H10" s="9"/>
      <c r="I10" s="9"/>
      <c r="J10" s="9"/>
      <c r="K10" s="9"/>
    </row>
    <row r="11" spans="1:11" ht="13.8" customHeight="1" x14ac:dyDescent="0.3">
      <c r="A11" s="9">
        <v>2</v>
      </c>
      <c r="B11" s="10" t="str">
        <f t="shared" ca="1" si="0"/>
        <v>1.4</v>
      </c>
      <c r="C11" s="9" t="str">
        <f t="shared" si="1"/>
        <v>Task Level 2 Description</v>
      </c>
      <c r="D11" s="9"/>
      <c r="E11" s="9"/>
      <c r="F11" s="12">
        <v>0</v>
      </c>
      <c r="G11" s="11">
        <v>0</v>
      </c>
      <c r="H11" s="9"/>
      <c r="I11" s="9"/>
      <c r="J11" s="9"/>
      <c r="K11" s="9"/>
    </row>
    <row r="12" spans="1:11" ht="13.8" customHeight="1" x14ac:dyDescent="0.3">
      <c r="A12" s="9">
        <v>3</v>
      </c>
      <c r="B12" s="10" t="str">
        <f t="shared" ca="1" si="0"/>
        <v>1.4.1</v>
      </c>
      <c r="C12" s="9" t="str">
        <f t="shared" si="1"/>
        <v>Task Level 3 Description</v>
      </c>
      <c r="D12" s="9"/>
      <c r="E12" s="9"/>
      <c r="F12" s="12">
        <v>0</v>
      </c>
      <c r="G12" s="11">
        <v>0</v>
      </c>
      <c r="H12" s="9"/>
      <c r="I12" s="9"/>
      <c r="J12" s="9"/>
      <c r="K12" s="9"/>
    </row>
    <row r="13" spans="1:11" ht="13.8" customHeight="1" x14ac:dyDescent="0.3">
      <c r="A13" s="9">
        <v>3</v>
      </c>
      <c r="B13" s="10" t="str">
        <f t="shared" ca="1" si="0"/>
        <v>1.4.2</v>
      </c>
      <c r="C13" s="9" t="str">
        <f t="shared" si="1"/>
        <v>Task Level 3 Description</v>
      </c>
      <c r="D13" s="9"/>
      <c r="E13" s="9"/>
      <c r="F13" s="12">
        <v>0</v>
      </c>
      <c r="G13" s="11">
        <v>0</v>
      </c>
      <c r="H13" s="9"/>
      <c r="I13" s="9"/>
      <c r="J13" s="9"/>
      <c r="K13" s="9"/>
    </row>
    <row r="14" spans="1:11" ht="13.8" customHeight="1" x14ac:dyDescent="0.3">
      <c r="A14" s="9">
        <v>2</v>
      </c>
      <c r="B14" s="10" t="str">
        <f t="shared" ca="1" si="0"/>
        <v>1.5</v>
      </c>
      <c r="C14" s="9" t="str">
        <f t="shared" si="1"/>
        <v>Task Level 2 Description</v>
      </c>
      <c r="D14" s="9"/>
      <c r="E14" s="9"/>
      <c r="F14" s="12">
        <v>0</v>
      </c>
      <c r="G14" s="11">
        <v>0</v>
      </c>
      <c r="H14" s="9"/>
      <c r="I14" s="9"/>
      <c r="J14" s="9"/>
      <c r="K14" s="9"/>
    </row>
    <row r="15" spans="1:11" ht="13.8" customHeight="1" x14ac:dyDescent="0.3">
      <c r="A15" s="9">
        <v>3</v>
      </c>
      <c r="B15" s="10" t="str">
        <f t="shared" ca="1" si="0"/>
        <v>1.5.1</v>
      </c>
      <c r="C15" s="9" t="str">
        <f t="shared" ref="C15:C22" si="2">IF(A15=1,"Phase "&amp;B15&amp;" ","Task Level "&amp;A15&amp;" Description")</f>
        <v>Task Level 3 Description</v>
      </c>
      <c r="D15" s="9" t="s">
        <v>14</v>
      </c>
      <c r="E15" s="9"/>
      <c r="F15" s="12">
        <v>0</v>
      </c>
      <c r="G15" s="11">
        <v>0</v>
      </c>
      <c r="H15" s="9"/>
      <c r="I15" s="9"/>
      <c r="J15" s="9"/>
      <c r="K15" s="9"/>
    </row>
    <row r="16" spans="1:11" ht="13.8" customHeight="1" x14ac:dyDescent="0.3">
      <c r="A16" s="9">
        <v>4</v>
      </c>
      <c r="B16" s="10" t="str">
        <f t="shared" ca="1" si="0"/>
        <v>1.5.1.1</v>
      </c>
      <c r="C16" s="9" t="str">
        <f t="shared" si="2"/>
        <v>Task Level 4 Description</v>
      </c>
      <c r="D16" s="9" t="s">
        <v>12</v>
      </c>
      <c r="E16" s="9"/>
      <c r="F16" s="12">
        <v>0</v>
      </c>
      <c r="G16" s="11">
        <v>0</v>
      </c>
      <c r="H16" s="9"/>
      <c r="I16" s="9"/>
      <c r="J16" s="9"/>
      <c r="K16" s="9"/>
    </row>
    <row r="17" spans="1:11" ht="13.8" customHeight="1" x14ac:dyDescent="0.3">
      <c r="A17" s="9">
        <v>2</v>
      </c>
      <c r="B17" s="10" t="str">
        <f t="shared" ref="B17" ca="1" si="3">IF(A17="","",IF(A17&gt;OFFSET(A17,-1,0,1,1),IF(OFFSET(B17,-1,0,1,1)="","1",OFFSET(B17,-1,0,1,1))&amp;REPT(".1",A17-MAX(OFFSET(A17,-1,0,1,1),1)),IF(ISERROR(FIND(".",OFFSET(B17,-1,0,1,1))),REPT("1.",A17-1)&amp;IFERROR(VALUE(OFFSET(B17,-1,0,1,1))+1,"1"),IF(A17=1,"",IFERROR(LEFT(OFFSET(B17,-1,0,1,1),FIND("^",SUBSTITUTE(OFFSET(B17,-1,0,1,1),".","^",A17-1))),""))&amp;VALUE(TRIM(MID(SUBSTITUTE(OFFSET(B17,-1,0,1,1),".",REPT(" ",LEN(OFFSET(B17,-1,0,1,1)))),(A17-1)*LEN(OFFSET(B17,-1,0,1,1))+1,LEN(OFFSET(B17,-1,0,1,1)))))+1)))</f>
        <v>1.6</v>
      </c>
      <c r="C17" s="9" t="str">
        <f t="shared" si="2"/>
        <v>Task Level 2 Description</v>
      </c>
      <c r="D17" s="9" t="s">
        <v>13</v>
      </c>
      <c r="E17" s="9"/>
      <c r="F17" s="12">
        <v>0</v>
      </c>
      <c r="G17" s="11">
        <v>0</v>
      </c>
      <c r="H17" s="9"/>
      <c r="I17" s="9"/>
      <c r="J17" s="9"/>
      <c r="K17" s="9"/>
    </row>
    <row r="18" spans="1:11" ht="13.8" customHeight="1" x14ac:dyDescent="0.3">
      <c r="A18" s="9">
        <v>3</v>
      </c>
      <c r="B18" s="10" t="str">
        <f ca="1">IF(A18="","",IF(A18&gt;OFFSET(A18,-1,0,1,1),IF(OFFSET(B18,-1,0,1,1)="","1",OFFSET(B18,-1,0,1,1))&amp;REPT(".1",A18-MAX(OFFSET(A18,-1,0,1,1),1)),IF(ISERROR(FIND(".",OFFSET(B18,-1,0,1,1))),REPT("1.",A18-1)&amp;IFERROR(VALUE(OFFSET(B18,-1,0,1,1))+1,"1"),IF(A18=1,"",IFERROR(LEFT(OFFSET(B18,-1,0,1,1),FIND("^",SUBSTITUTE(OFFSET(B18,-1,0,1,1),".","^",A18-1))),""))&amp;VALUE(TRIM(MID(SUBSTITUTE(OFFSET(B18,-1,0,1,1),".",REPT(" ",LEN(OFFSET(B18,-1,0,1,1)))),(A18-1)*LEN(OFFSET(B18,-1,0,1,1))+1,LEN(OFFSET(B18,-1,0,1,1)))))+1)))</f>
        <v>1.6.1</v>
      </c>
      <c r="C18" s="9" t="str">
        <f t="shared" si="2"/>
        <v>Task Level 3 Description</v>
      </c>
      <c r="D18" s="9" t="s">
        <v>14</v>
      </c>
      <c r="E18" s="9"/>
      <c r="F18" s="12">
        <v>0</v>
      </c>
      <c r="G18" s="11">
        <v>0</v>
      </c>
      <c r="H18" s="9"/>
      <c r="I18" s="9"/>
      <c r="J18" s="9"/>
      <c r="K18" s="9"/>
    </row>
    <row r="19" spans="1:11" ht="13.8" customHeight="1" x14ac:dyDescent="0.3">
      <c r="A19" s="9">
        <v>4</v>
      </c>
      <c r="B19" s="10" t="str">
        <f ca="1">IF(A19="","",IF(A19&gt;OFFSET(A19,-1,0,1,1),IF(OFFSET(B19,-1,0,1,1)="","1",OFFSET(B19,-1,0,1,1))&amp;REPT(".1",A19-MAX(OFFSET(A19,-1,0,1,1),1)),IF(ISERROR(FIND(".",OFFSET(B19,-1,0,1,1))),REPT("1.",A19-1)&amp;IFERROR(VALUE(OFFSET(B19,-1,0,1,1))+1,"1"),IF(A19=1,"",IFERROR(LEFT(OFFSET(B19,-1,0,1,1),FIND("^",SUBSTITUTE(OFFSET(B19,-1,0,1,1),".","^",A19-1))),""))&amp;VALUE(TRIM(MID(SUBSTITUTE(OFFSET(B19,-1,0,1,1),".",REPT(" ",LEN(OFFSET(B19,-1,0,1,1)))),(A19-1)*LEN(OFFSET(B19,-1,0,1,1))+1,LEN(OFFSET(B19,-1,0,1,1)))))+1)))</f>
        <v>1.6.1.1</v>
      </c>
      <c r="C19" s="9" t="str">
        <f t="shared" si="2"/>
        <v>Task Level 4 Description</v>
      </c>
      <c r="D19" s="9" t="s">
        <v>12</v>
      </c>
      <c r="E19" s="9"/>
      <c r="F19" s="12">
        <v>0</v>
      </c>
      <c r="G19" s="11">
        <v>0</v>
      </c>
      <c r="H19" s="9"/>
      <c r="I19" s="9"/>
      <c r="J19" s="9"/>
      <c r="K19" s="9"/>
    </row>
    <row r="20" spans="1:11" ht="13.8" customHeight="1" x14ac:dyDescent="0.3">
      <c r="A20" s="9">
        <v>2</v>
      </c>
      <c r="B20" s="10" t="str">
        <f ca="1">IF(A20="","",IF(A20&gt;OFFSET(A20,-1,0,1,1),IF(OFFSET(B20,-1,0,1,1)="","1",OFFSET(B20,-1,0,1,1))&amp;REPT(".1",A20-MAX(OFFSET(A20,-1,0,1,1),1)),IF(ISERROR(FIND(".",OFFSET(B20,-1,0,1,1))),REPT("1.",A20-1)&amp;IFERROR(VALUE(OFFSET(B20,-1,0,1,1))+1,"1"),IF(A20=1,"",IFERROR(LEFT(OFFSET(B20,-1,0,1,1),FIND("^",SUBSTITUTE(OFFSET(B20,-1,0,1,1),".","^",A20-1))),""))&amp;VALUE(TRIM(MID(SUBSTITUTE(OFFSET(B20,-1,0,1,1),".",REPT(" ",LEN(OFFSET(B20,-1,0,1,1)))),(A20-1)*LEN(OFFSET(B20,-1,0,1,1))+1,LEN(OFFSET(B20,-1,0,1,1)))))+1)))</f>
        <v>1.7</v>
      </c>
      <c r="C20" s="9" t="str">
        <f t="shared" si="2"/>
        <v>Task Level 2 Description</v>
      </c>
      <c r="D20" s="9" t="s">
        <v>13</v>
      </c>
      <c r="E20" s="9"/>
      <c r="F20" s="12">
        <v>0</v>
      </c>
      <c r="G20" s="11">
        <v>0</v>
      </c>
      <c r="H20" s="9"/>
      <c r="I20" s="9"/>
      <c r="J20" s="9"/>
      <c r="K20" s="9"/>
    </row>
    <row r="21" spans="1:11" ht="13.8" customHeight="1" x14ac:dyDescent="0.3">
      <c r="A21" s="9">
        <v>3</v>
      </c>
      <c r="B21" s="10" t="str">
        <f ca="1">IF(A21="","",IF(A21&gt;OFFSET(A21,-1,0,1,1),IF(OFFSET(B21,-1,0,1,1)="","1",OFFSET(B21,-1,0,1,1))&amp;REPT(".1",A21-MAX(OFFSET(A21,-1,0,1,1),1)),IF(ISERROR(FIND(".",OFFSET(B21,-1,0,1,1))),REPT("1.",A21-1)&amp;IFERROR(VALUE(OFFSET(B21,-1,0,1,1))+1,"1"),IF(A21=1,"",IFERROR(LEFT(OFFSET(B21,-1,0,1,1),FIND("^",SUBSTITUTE(OFFSET(B21,-1,0,1,1),".","^",A21-1))),""))&amp;VALUE(TRIM(MID(SUBSTITUTE(OFFSET(B21,-1,0,1,1),".",REPT(" ",LEN(OFFSET(B21,-1,0,1,1)))),(A21-1)*LEN(OFFSET(B21,-1,0,1,1))+1,LEN(OFFSET(B21,-1,0,1,1)))))+1)))</f>
        <v>1.7.1</v>
      </c>
      <c r="C21" s="9" t="str">
        <f t="shared" si="2"/>
        <v>Task Level 3 Description</v>
      </c>
      <c r="D21" s="9" t="s">
        <v>14</v>
      </c>
      <c r="E21" s="9"/>
      <c r="F21" s="12">
        <v>0</v>
      </c>
      <c r="G21" s="11">
        <v>0</v>
      </c>
      <c r="H21" s="9"/>
      <c r="I21" s="9"/>
      <c r="J21" s="9"/>
      <c r="K21" s="9"/>
    </row>
    <row r="22" spans="1:11" x14ac:dyDescent="0.3">
      <c r="A22" s="9">
        <v>2</v>
      </c>
      <c r="B22" s="13" t="str">
        <f ca="1">IF(A22="","",IF(A22&gt;OFFSET(A22,-1,0,1,1),IF(OFFSET(B22,-1,0,1,1)="","1",OFFSET(B22,-1,0,1,1))&amp;REPT(".1",A22-MAX(OFFSET(A22,-1,0,1,1),1)),IF(ISERROR(FIND(".",OFFSET(B22,-1,0,1,1))),REPT("1.",A22-1)&amp;IFERROR(VALUE(OFFSET(B22,-1,0,1,1))+1,"1"),IF(A22=1,"",IFERROR(LEFT(OFFSET(B22,-1,0,1,1),FIND("^",SUBSTITUTE(OFFSET(B22,-1,0,1,1),".","^",A22-1))),""))&amp;VALUE(TRIM(MID(SUBSTITUTE(OFFSET(B22,-1,0,1,1),".",REPT(" ",LEN(OFFSET(B22,-1,0,1,1)))),(A22-1)*LEN(OFFSET(B22,-1,0,1,1))+1,LEN(OFFSET(B22,-1,0,1,1)))))+1)))</f>
        <v>1.8</v>
      </c>
      <c r="C22" s="9" t="str">
        <f t="shared" si="2"/>
        <v>Task Level 2 Description</v>
      </c>
      <c r="D22" s="9" t="s">
        <v>12</v>
      </c>
      <c r="E22" s="14"/>
      <c r="F22" s="15">
        <v>0</v>
      </c>
      <c r="G22" s="16">
        <v>0</v>
      </c>
      <c r="H22" s="14"/>
      <c r="I22" s="14"/>
      <c r="J22" s="14"/>
      <c r="K22" s="14"/>
    </row>
  </sheetData>
  <conditionalFormatting sqref="A23:A433 C15:K433 A15:C22 A6:K6 A8:K14">
    <cfRule type="expression" dxfId="11" priority="13">
      <formula>($A6=2)</formula>
    </cfRule>
    <cfRule type="expression" dxfId="10" priority="14">
      <formula>($A6=1)</formula>
    </cfRule>
  </conditionalFormatting>
  <conditionalFormatting sqref="B24:B434">
    <cfRule type="expression" dxfId="9" priority="17">
      <formula>($A23=2)</formula>
    </cfRule>
    <cfRule type="expression" dxfId="8" priority="18">
      <formula>($A23=1)</formula>
    </cfRule>
  </conditionalFormatting>
  <conditionalFormatting sqref="A7:K7">
    <cfRule type="expression" dxfId="7" priority="1">
      <formula>($A7=2)</formula>
    </cfRule>
    <cfRule type="expression" dxfId="6" priority="2">
      <formula>($A7=1)</formula>
    </cfRule>
  </conditionalFormatting>
  <dataValidations count="2">
    <dataValidation type="list" allowBlank="1" showInputMessage="1" showErrorMessage="1" sqref="A6" xr:uid="{00000000-0002-0000-0000-000000000000}">
      <formula1>"1"</formula1>
    </dataValidation>
    <dataValidation type="list" allowBlank="1" showInputMessage="1" showErrorMessage="1" sqref="A7:A22" xr:uid="{00000000-0002-0000-0000-000001000000}">
      <formula1>"2,3,4,5,6"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"/>
  <sheetViews>
    <sheetView topLeftCell="F7" zoomScale="70" zoomScaleNormal="70" workbookViewId="0">
      <selection activeCell="I56" sqref="I56"/>
    </sheetView>
  </sheetViews>
  <sheetFormatPr baseColWidth="10" defaultRowHeight="14.4" x14ac:dyDescent="0.3"/>
  <cols>
    <col min="1" max="16384" width="11.5546875" style="17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AN42"/>
  <sheetViews>
    <sheetView showGridLines="0" tabSelected="1" zoomScale="60" zoomScaleNormal="60" workbookViewId="0">
      <selection activeCell="AB28" sqref="AB28"/>
    </sheetView>
  </sheetViews>
  <sheetFormatPr baseColWidth="10" defaultRowHeight="14.4" x14ac:dyDescent="0.3"/>
  <cols>
    <col min="1" max="1" width="45.33203125" customWidth="1"/>
    <col min="2" max="2" width="13.109375" style="45" customWidth="1"/>
    <col min="3" max="4" width="16.21875" customWidth="1"/>
    <col min="6" max="40" width="4.33203125" style="1" customWidth="1"/>
  </cols>
  <sheetData>
    <row r="1" spans="1:40" ht="7.8" customHeight="1" x14ac:dyDescent="0.45">
      <c r="C1" s="32"/>
      <c r="D1" s="2"/>
    </row>
    <row r="2" spans="1:40" ht="16.2" customHeight="1" x14ac:dyDescent="0.3">
      <c r="B2" s="46" t="s">
        <v>21</v>
      </c>
      <c r="C2" s="33">
        <v>43972</v>
      </c>
      <c r="D2" s="34"/>
    </row>
    <row r="3" spans="1:40" ht="12.6" customHeight="1" x14ac:dyDescent="0.3">
      <c r="B3" s="46" t="s">
        <v>20</v>
      </c>
      <c r="C3" s="33">
        <v>44000</v>
      </c>
      <c r="D3" s="34"/>
    </row>
    <row r="4" spans="1:40" ht="12.6" customHeight="1" x14ac:dyDescent="0.3">
      <c r="B4" s="46" t="s">
        <v>19</v>
      </c>
      <c r="C4" s="31">
        <v>1</v>
      </c>
    </row>
    <row r="5" spans="1:40" ht="12.6" customHeight="1" x14ac:dyDescent="0.3">
      <c r="B5" s="47"/>
      <c r="F5" s="37">
        <f>F6</f>
        <v>43969</v>
      </c>
      <c r="G5" s="38"/>
      <c r="H5" s="38"/>
      <c r="I5" s="38"/>
      <c r="J5" s="38"/>
      <c r="K5" s="38"/>
      <c r="L5" s="39"/>
      <c r="M5" s="40">
        <f>M6</f>
        <v>43976</v>
      </c>
      <c r="N5" s="35"/>
      <c r="O5" s="35"/>
      <c r="P5" s="35"/>
      <c r="Q5" s="35"/>
      <c r="R5" s="35"/>
      <c r="S5" s="35"/>
      <c r="T5" s="41">
        <f>T6</f>
        <v>43983</v>
      </c>
      <c r="U5" s="35"/>
      <c r="V5" s="35"/>
      <c r="W5" s="35"/>
      <c r="X5" s="35"/>
      <c r="Y5" s="35"/>
      <c r="Z5" s="36"/>
      <c r="AA5" s="35">
        <f>AA6</f>
        <v>43990</v>
      </c>
      <c r="AB5" s="35"/>
      <c r="AC5" s="35"/>
      <c r="AD5" s="35"/>
      <c r="AE5" s="35"/>
      <c r="AF5" s="35"/>
      <c r="AG5" s="36"/>
      <c r="AH5" s="35">
        <f>AH6</f>
        <v>43997</v>
      </c>
      <c r="AI5" s="35"/>
      <c r="AJ5" s="35"/>
      <c r="AK5" s="35"/>
      <c r="AL5" s="35"/>
      <c r="AM5" s="35"/>
      <c r="AN5" s="36"/>
    </row>
    <row r="6" spans="1:40" ht="11.4" customHeight="1" x14ac:dyDescent="0.3">
      <c r="F6" s="29">
        <f>$C$2-((WEEKDAY(project_start,3))+((display_week-1)*7))</f>
        <v>43969</v>
      </c>
      <c r="G6" s="28">
        <f t="shared" ref="G6:AG6" si="0">F6+1</f>
        <v>43970</v>
      </c>
      <c r="H6" s="28">
        <f t="shared" si="0"/>
        <v>43971</v>
      </c>
      <c r="I6" s="28">
        <f t="shared" si="0"/>
        <v>43972</v>
      </c>
      <c r="J6" s="28">
        <f t="shared" si="0"/>
        <v>43973</v>
      </c>
      <c r="K6" s="28">
        <f t="shared" si="0"/>
        <v>43974</v>
      </c>
      <c r="L6" s="30">
        <f t="shared" si="0"/>
        <v>43975</v>
      </c>
      <c r="M6" s="29">
        <f t="shared" si="0"/>
        <v>43976</v>
      </c>
      <c r="N6" s="28">
        <f t="shared" si="0"/>
        <v>43977</v>
      </c>
      <c r="O6" s="28">
        <f t="shared" si="0"/>
        <v>43978</v>
      </c>
      <c r="P6" s="28">
        <f t="shared" si="0"/>
        <v>43979</v>
      </c>
      <c r="Q6" s="28">
        <f t="shared" si="0"/>
        <v>43980</v>
      </c>
      <c r="R6" s="28">
        <f t="shared" si="0"/>
        <v>43981</v>
      </c>
      <c r="S6" s="28">
        <f t="shared" si="0"/>
        <v>43982</v>
      </c>
      <c r="T6" s="28">
        <f t="shared" si="0"/>
        <v>43983</v>
      </c>
      <c r="U6" s="28">
        <f t="shared" si="0"/>
        <v>43984</v>
      </c>
      <c r="V6" s="28">
        <f t="shared" si="0"/>
        <v>43985</v>
      </c>
      <c r="W6" s="28">
        <f t="shared" si="0"/>
        <v>43986</v>
      </c>
      <c r="X6" s="28">
        <f t="shared" si="0"/>
        <v>43987</v>
      </c>
      <c r="Y6" s="28">
        <f t="shared" si="0"/>
        <v>43988</v>
      </c>
      <c r="Z6" s="27">
        <f t="shared" si="0"/>
        <v>43989</v>
      </c>
      <c r="AA6" s="28">
        <f t="shared" si="0"/>
        <v>43990</v>
      </c>
      <c r="AB6" s="28">
        <f t="shared" si="0"/>
        <v>43991</v>
      </c>
      <c r="AC6" s="28">
        <f t="shared" si="0"/>
        <v>43992</v>
      </c>
      <c r="AD6" s="28">
        <f t="shared" si="0"/>
        <v>43993</v>
      </c>
      <c r="AE6" s="28">
        <f t="shared" si="0"/>
        <v>43994</v>
      </c>
      <c r="AF6" s="28">
        <f t="shared" si="0"/>
        <v>43995</v>
      </c>
      <c r="AG6" s="27">
        <f t="shared" si="0"/>
        <v>43996</v>
      </c>
      <c r="AH6" s="28">
        <f t="shared" ref="AH6" si="1">AG6+1</f>
        <v>43997</v>
      </c>
      <c r="AI6" s="28">
        <f t="shared" ref="AI6" si="2">AH6+1</f>
        <v>43998</v>
      </c>
      <c r="AJ6" s="28">
        <f t="shared" ref="AJ6" si="3">AI6+1</f>
        <v>43999</v>
      </c>
      <c r="AK6" s="28">
        <f t="shared" ref="AK6" si="4">AJ6+1</f>
        <v>44000</v>
      </c>
      <c r="AL6" s="28">
        <f t="shared" ref="AL6" si="5">AK6+1</f>
        <v>44001</v>
      </c>
      <c r="AM6" s="28">
        <f t="shared" ref="AM6" si="6">AL6+1</f>
        <v>44002</v>
      </c>
      <c r="AN6" s="27">
        <f t="shared" ref="AN6" si="7">AM6+1</f>
        <v>44003</v>
      </c>
    </row>
    <row r="7" spans="1:40" ht="25.8" customHeight="1" x14ac:dyDescent="0.3">
      <c r="A7" s="26" t="s">
        <v>18</v>
      </c>
      <c r="B7" s="25" t="s">
        <v>17</v>
      </c>
      <c r="C7" s="24" t="s">
        <v>16</v>
      </c>
      <c r="D7" s="24" t="s">
        <v>15</v>
      </c>
      <c r="E7" s="23"/>
      <c r="F7" s="22" t="str">
        <f t="shared" ref="F7:AG7" si="8">UPPER(LEFT(TEXT(F6,"JJJJ"),1))</f>
        <v>L</v>
      </c>
      <c r="G7" s="22" t="str">
        <f t="shared" si="8"/>
        <v>M</v>
      </c>
      <c r="H7" s="22" t="str">
        <f t="shared" si="8"/>
        <v>M</v>
      </c>
      <c r="I7" s="22" t="str">
        <f t="shared" si="8"/>
        <v>J</v>
      </c>
      <c r="J7" s="22" t="str">
        <f t="shared" si="8"/>
        <v>V</v>
      </c>
      <c r="K7" s="22" t="str">
        <f t="shared" si="8"/>
        <v>S</v>
      </c>
      <c r="L7" s="22" t="str">
        <f t="shared" si="8"/>
        <v>D</v>
      </c>
      <c r="M7" s="22" t="str">
        <f t="shared" si="8"/>
        <v>L</v>
      </c>
      <c r="N7" s="22" t="str">
        <f t="shared" si="8"/>
        <v>M</v>
      </c>
      <c r="O7" s="22" t="str">
        <f t="shared" si="8"/>
        <v>M</v>
      </c>
      <c r="P7" s="22" t="str">
        <f t="shared" si="8"/>
        <v>J</v>
      </c>
      <c r="Q7" s="22" t="str">
        <f t="shared" si="8"/>
        <v>V</v>
      </c>
      <c r="R7" s="22" t="str">
        <f t="shared" si="8"/>
        <v>S</v>
      </c>
      <c r="S7" s="22" t="str">
        <f t="shared" si="8"/>
        <v>D</v>
      </c>
      <c r="T7" s="22" t="str">
        <f t="shared" si="8"/>
        <v>L</v>
      </c>
      <c r="U7" s="22" t="str">
        <f t="shared" si="8"/>
        <v>M</v>
      </c>
      <c r="V7" s="22" t="str">
        <f t="shared" si="8"/>
        <v>M</v>
      </c>
      <c r="W7" s="22" t="str">
        <f t="shared" si="8"/>
        <v>J</v>
      </c>
      <c r="X7" s="22" t="str">
        <f t="shared" si="8"/>
        <v>V</v>
      </c>
      <c r="Y7" s="22" t="str">
        <f t="shared" si="8"/>
        <v>S</v>
      </c>
      <c r="Z7" s="22" t="str">
        <f t="shared" si="8"/>
        <v>D</v>
      </c>
      <c r="AA7" s="22" t="str">
        <f t="shared" si="8"/>
        <v>L</v>
      </c>
      <c r="AB7" s="22" t="str">
        <f t="shared" si="8"/>
        <v>M</v>
      </c>
      <c r="AC7" s="22" t="str">
        <f t="shared" si="8"/>
        <v>M</v>
      </c>
      <c r="AD7" s="22" t="str">
        <f t="shared" si="8"/>
        <v>J</v>
      </c>
      <c r="AE7" s="22" t="str">
        <f t="shared" si="8"/>
        <v>V</v>
      </c>
      <c r="AF7" s="22" t="str">
        <f t="shared" si="8"/>
        <v>S</v>
      </c>
      <c r="AG7" s="22" t="str">
        <f t="shared" si="8"/>
        <v>D</v>
      </c>
      <c r="AH7" s="22" t="str">
        <f t="shared" ref="AH7:AN7" si="9">UPPER(LEFT(TEXT(AH6,"JJJJ"),1))</f>
        <v>L</v>
      </c>
      <c r="AI7" s="22" t="str">
        <f t="shared" si="9"/>
        <v>M</v>
      </c>
      <c r="AJ7" s="22" t="str">
        <f t="shared" si="9"/>
        <v>M</v>
      </c>
      <c r="AK7" s="22" t="str">
        <f t="shared" si="9"/>
        <v>J</v>
      </c>
      <c r="AL7" s="22" t="str">
        <f t="shared" si="9"/>
        <v>V</v>
      </c>
      <c r="AM7" s="22" t="str">
        <f t="shared" si="9"/>
        <v>S</v>
      </c>
      <c r="AN7" s="22" t="str">
        <f t="shared" si="9"/>
        <v>D</v>
      </c>
    </row>
    <row r="8" spans="1:40" ht="17.399999999999999" customHeight="1" x14ac:dyDescent="0.3">
      <c r="A8" s="20" t="s">
        <v>22</v>
      </c>
      <c r="B8" s="44"/>
      <c r="C8" s="21"/>
      <c r="D8" s="21"/>
      <c r="E8" s="19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</row>
    <row r="9" spans="1:40" ht="17.399999999999999" customHeight="1" x14ac:dyDescent="0.3">
      <c r="A9" s="42" t="s">
        <v>24</v>
      </c>
      <c r="E9" s="19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</row>
    <row r="10" spans="1:40" ht="17.399999999999999" customHeight="1" x14ac:dyDescent="0.3">
      <c r="A10" s="43" t="s">
        <v>25</v>
      </c>
      <c r="B10" s="44" t="s">
        <v>23</v>
      </c>
      <c r="C10" s="21">
        <v>43972</v>
      </c>
      <c r="D10" s="21">
        <v>43977</v>
      </c>
      <c r="E10" s="19"/>
      <c r="F10" s="18"/>
      <c r="G10" s="18"/>
      <c r="H10" s="18"/>
      <c r="I10" s="48"/>
      <c r="J10" s="48"/>
      <c r="K10" s="48"/>
      <c r="L10" s="48"/>
      <c r="M10" s="48"/>
      <c r="N10" s="4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</row>
    <row r="11" spans="1:40" ht="17.399999999999999" customHeight="1" x14ac:dyDescent="0.3">
      <c r="A11" s="43" t="s">
        <v>26</v>
      </c>
      <c r="B11" s="44" t="s">
        <v>23</v>
      </c>
      <c r="C11" s="21">
        <v>43977</v>
      </c>
      <c r="D11" s="21">
        <v>43978</v>
      </c>
      <c r="E11" s="19"/>
      <c r="F11" s="18"/>
      <c r="G11" s="18"/>
      <c r="H11" s="18"/>
      <c r="I11" s="18"/>
      <c r="J11" s="18"/>
      <c r="K11" s="18"/>
      <c r="L11" s="18"/>
      <c r="M11" s="18"/>
      <c r="N11" s="48"/>
      <c r="O11" s="4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</row>
    <row r="12" spans="1:40" ht="17.399999999999999" customHeight="1" x14ac:dyDescent="0.3">
      <c r="A12" s="43" t="s">
        <v>27</v>
      </c>
      <c r="B12" s="44" t="s">
        <v>38</v>
      </c>
      <c r="C12" s="21">
        <v>43977</v>
      </c>
      <c r="D12" s="21">
        <v>43978</v>
      </c>
      <c r="E12" s="19"/>
      <c r="F12" s="18"/>
      <c r="G12" s="18"/>
      <c r="H12" s="18"/>
      <c r="I12" s="18"/>
      <c r="J12" s="18"/>
      <c r="K12" s="18"/>
      <c r="L12" s="18"/>
      <c r="M12" s="18"/>
      <c r="N12" s="49"/>
      <c r="O12" s="49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</row>
    <row r="13" spans="1:40" ht="17.399999999999999" customHeight="1" x14ac:dyDescent="0.3">
      <c r="A13" s="43" t="s">
        <v>28</v>
      </c>
      <c r="B13" s="44" t="s">
        <v>38</v>
      </c>
      <c r="C13" s="21">
        <v>43978</v>
      </c>
      <c r="D13" s="21">
        <v>43979</v>
      </c>
      <c r="E13" s="19"/>
      <c r="F13" s="18"/>
      <c r="G13" s="18"/>
      <c r="H13" s="18"/>
      <c r="I13" s="18"/>
      <c r="J13" s="18"/>
      <c r="K13" s="18"/>
      <c r="L13" s="18"/>
      <c r="M13" s="18"/>
      <c r="N13" s="18"/>
      <c r="O13" s="49"/>
      <c r="P13" s="49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</row>
    <row r="14" spans="1:40" ht="17.399999999999999" customHeight="1" x14ac:dyDescent="0.3">
      <c r="A14" s="43" t="s">
        <v>29</v>
      </c>
      <c r="B14" s="44" t="s">
        <v>39</v>
      </c>
      <c r="C14" s="21">
        <v>43977</v>
      </c>
      <c r="D14" s="21">
        <v>43978</v>
      </c>
      <c r="E14" s="19"/>
      <c r="F14" s="18"/>
      <c r="G14" s="18"/>
      <c r="H14" s="18"/>
      <c r="I14" s="18"/>
      <c r="J14" s="18"/>
      <c r="K14" s="18"/>
      <c r="L14" s="18"/>
      <c r="M14" s="18"/>
      <c r="N14" s="51"/>
      <c r="O14" s="51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</row>
    <row r="15" spans="1:40" ht="17.399999999999999" customHeight="1" x14ac:dyDescent="0.3">
      <c r="A15" s="43" t="s">
        <v>30</v>
      </c>
      <c r="B15" s="44" t="s">
        <v>23</v>
      </c>
      <c r="C15" s="21">
        <v>43978</v>
      </c>
      <c r="D15" s="21">
        <v>43979</v>
      </c>
      <c r="E15" s="19"/>
      <c r="F15" s="18"/>
      <c r="G15" s="18"/>
      <c r="H15" s="18"/>
      <c r="I15" s="18"/>
      <c r="J15" s="18"/>
      <c r="K15" s="18"/>
      <c r="L15" s="18"/>
      <c r="M15" s="18"/>
      <c r="N15" s="18"/>
      <c r="O15" s="48"/>
      <c r="P15" s="4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</row>
    <row r="16" spans="1:40" ht="17.399999999999999" customHeight="1" x14ac:dyDescent="0.3">
      <c r="A16" s="43" t="s">
        <v>31</v>
      </c>
      <c r="B16" s="44" t="s">
        <v>23</v>
      </c>
      <c r="C16" s="21">
        <v>43979</v>
      </c>
      <c r="D16" s="21">
        <v>43980</v>
      </c>
      <c r="E16" s="1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48"/>
      <c r="Q16" s="4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</row>
    <row r="17" spans="1:40" ht="17.399999999999999" customHeight="1" x14ac:dyDescent="0.3">
      <c r="A17" s="43" t="s">
        <v>32</v>
      </c>
      <c r="B17" s="44" t="s">
        <v>39</v>
      </c>
      <c r="C17" s="21">
        <v>43978</v>
      </c>
      <c r="D17" s="21">
        <v>43979</v>
      </c>
      <c r="E17" s="19"/>
      <c r="F17" s="18"/>
      <c r="G17" s="18"/>
      <c r="H17" s="18"/>
      <c r="I17" s="18"/>
      <c r="J17" s="18"/>
      <c r="K17" s="18"/>
      <c r="L17" s="18"/>
      <c r="M17" s="18"/>
      <c r="N17" s="18"/>
      <c r="O17" s="51"/>
      <c r="P17" s="51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</row>
    <row r="18" spans="1:40" ht="17.399999999999999" customHeight="1" x14ac:dyDescent="0.3">
      <c r="A18" s="43" t="s">
        <v>33</v>
      </c>
      <c r="B18" s="44" t="s">
        <v>40</v>
      </c>
      <c r="C18" s="21">
        <v>43977</v>
      </c>
      <c r="D18" s="21">
        <v>43978</v>
      </c>
      <c r="E18" s="19"/>
      <c r="F18" s="18"/>
      <c r="G18" s="18"/>
      <c r="H18" s="18"/>
      <c r="I18" s="18"/>
      <c r="J18" s="18"/>
      <c r="K18" s="18"/>
      <c r="L18" s="18"/>
      <c r="M18" s="18"/>
      <c r="N18" s="50"/>
      <c r="O18" s="50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</row>
    <row r="19" spans="1:40" ht="17.399999999999999" customHeight="1" x14ac:dyDescent="0.3">
      <c r="A19" s="43" t="s">
        <v>34</v>
      </c>
      <c r="B19" s="44" t="s">
        <v>40</v>
      </c>
      <c r="C19" s="21">
        <v>43978</v>
      </c>
      <c r="D19" s="21">
        <v>43979</v>
      </c>
      <c r="E19" s="19"/>
      <c r="F19" s="18"/>
      <c r="G19" s="18"/>
      <c r="H19" s="18"/>
      <c r="I19" s="18"/>
      <c r="J19" s="18"/>
      <c r="K19" s="18"/>
      <c r="L19" s="18"/>
      <c r="M19" s="18"/>
      <c r="N19" s="18"/>
      <c r="O19" s="50"/>
      <c r="P19" s="50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</row>
    <row r="20" spans="1:40" ht="17.399999999999999" customHeight="1" x14ac:dyDescent="0.3">
      <c r="A20" s="43" t="s">
        <v>35</v>
      </c>
      <c r="B20" s="44" t="s">
        <v>38</v>
      </c>
      <c r="C20" s="21">
        <v>43980</v>
      </c>
      <c r="D20" s="21">
        <v>43981</v>
      </c>
      <c r="E20" s="1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49"/>
      <c r="Q20" s="49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</row>
    <row r="21" spans="1:40" ht="17.399999999999999" customHeight="1" x14ac:dyDescent="0.3">
      <c r="A21" s="42" t="s">
        <v>53</v>
      </c>
      <c r="B21" s="44"/>
      <c r="C21" s="21"/>
      <c r="D21" s="21"/>
      <c r="E21" s="1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</row>
    <row r="22" spans="1:40" ht="17.399999999999999" customHeight="1" x14ac:dyDescent="0.3">
      <c r="A22" s="43" t="s">
        <v>36</v>
      </c>
      <c r="B22" s="44" t="s">
        <v>39</v>
      </c>
      <c r="C22" s="21">
        <v>43981</v>
      </c>
      <c r="D22" s="21">
        <v>43982</v>
      </c>
      <c r="E22" s="1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51"/>
      <c r="S22" s="51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</row>
    <row r="23" spans="1:40" ht="17.399999999999999" customHeight="1" x14ac:dyDescent="0.3">
      <c r="A23" s="43" t="s">
        <v>37</v>
      </c>
      <c r="B23" s="44" t="s">
        <v>38</v>
      </c>
      <c r="C23" s="21">
        <v>43981</v>
      </c>
      <c r="D23" s="21">
        <v>43982</v>
      </c>
      <c r="E23" s="1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49"/>
      <c r="S23" s="49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</row>
    <row r="24" spans="1:40" ht="17.399999999999999" customHeight="1" x14ac:dyDescent="0.3">
      <c r="A24" s="42" t="s">
        <v>54</v>
      </c>
      <c r="B24" s="44"/>
      <c r="C24" s="21"/>
      <c r="D24" s="21"/>
      <c r="E24" s="1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</row>
    <row r="25" spans="1:40" ht="17.399999999999999" customHeight="1" x14ac:dyDescent="0.3">
      <c r="A25" s="43" t="s">
        <v>41</v>
      </c>
      <c r="B25" s="44" t="s">
        <v>23</v>
      </c>
      <c r="C25" s="21">
        <v>43983</v>
      </c>
      <c r="D25" s="21">
        <v>43985</v>
      </c>
      <c r="E25" s="1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48"/>
      <c r="U25" s="48"/>
      <c r="V25" s="4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</row>
    <row r="26" spans="1:40" ht="17.399999999999999" customHeight="1" x14ac:dyDescent="0.3">
      <c r="A26" s="43" t="s">
        <v>42</v>
      </c>
      <c r="B26" s="44" t="s">
        <v>38</v>
      </c>
      <c r="C26" s="21">
        <v>43985</v>
      </c>
      <c r="D26" s="21">
        <v>43986</v>
      </c>
      <c r="E26" s="1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49"/>
      <c r="W26" s="49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</row>
    <row r="27" spans="1:40" ht="17.399999999999999" customHeight="1" x14ac:dyDescent="0.3">
      <c r="A27" s="43" t="s">
        <v>43</v>
      </c>
      <c r="B27" s="44" t="s">
        <v>40</v>
      </c>
      <c r="C27" s="21">
        <v>43985</v>
      </c>
      <c r="D27" s="21">
        <v>43987</v>
      </c>
      <c r="E27" s="1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50"/>
      <c r="W27" s="50"/>
      <c r="X27" s="50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</row>
    <row r="28" spans="1:40" ht="17.399999999999999" customHeight="1" x14ac:dyDescent="0.3">
      <c r="A28" s="43" t="s">
        <v>44</v>
      </c>
      <c r="B28" s="44" t="s">
        <v>40</v>
      </c>
      <c r="C28" s="21">
        <v>43987</v>
      </c>
      <c r="D28" s="21">
        <v>43988</v>
      </c>
      <c r="E28" s="1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50"/>
      <c r="Y28" s="50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</row>
    <row r="29" spans="1:40" ht="17.399999999999999" customHeight="1" x14ac:dyDescent="0.3">
      <c r="A29" s="43" t="s">
        <v>45</v>
      </c>
      <c r="B29" s="44" t="s">
        <v>38</v>
      </c>
      <c r="C29" s="21">
        <v>43986</v>
      </c>
      <c r="D29" s="21">
        <v>43988</v>
      </c>
      <c r="E29" s="1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49"/>
      <c r="X29" s="49"/>
      <c r="Y29" s="49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</row>
    <row r="30" spans="1:40" ht="17.399999999999999" customHeight="1" x14ac:dyDescent="0.3">
      <c r="A30" s="43" t="s">
        <v>46</v>
      </c>
      <c r="B30" s="44" t="s">
        <v>38</v>
      </c>
      <c r="C30" s="21">
        <v>43988</v>
      </c>
      <c r="D30" s="21">
        <v>43989</v>
      </c>
      <c r="E30" s="1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49"/>
      <c r="Z30" s="49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</row>
    <row r="31" spans="1:40" ht="17.399999999999999" customHeight="1" x14ac:dyDescent="0.3">
      <c r="A31" s="43" t="s">
        <v>47</v>
      </c>
      <c r="B31" s="44" t="s">
        <v>39</v>
      </c>
      <c r="C31" s="21">
        <v>43985</v>
      </c>
      <c r="D31" s="21">
        <v>43988</v>
      </c>
      <c r="E31" s="1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51"/>
      <c r="W31" s="51"/>
      <c r="X31" s="51"/>
      <c r="Y31" s="51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</row>
    <row r="32" spans="1:40" ht="17.399999999999999" customHeight="1" x14ac:dyDescent="0.3">
      <c r="A32" s="43" t="s">
        <v>48</v>
      </c>
      <c r="B32" s="44" t="s">
        <v>38</v>
      </c>
      <c r="C32" s="21">
        <v>43989</v>
      </c>
      <c r="D32" s="21">
        <v>43990</v>
      </c>
      <c r="E32" s="1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49"/>
      <c r="AA32" s="49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</row>
    <row r="33" spans="1:40" ht="17.399999999999999" customHeight="1" x14ac:dyDescent="0.3">
      <c r="A33" s="43" t="s">
        <v>49</v>
      </c>
      <c r="B33" s="44" t="s">
        <v>40</v>
      </c>
      <c r="C33" s="21">
        <v>43989</v>
      </c>
      <c r="D33" s="21">
        <v>43990</v>
      </c>
      <c r="E33" s="1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50"/>
      <c r="AA33" s="50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</row>
    <row r="34" spans="1:40" ht="17.399999999999999" customHeight="1" x14ac:dyDescent="0.3">
      <c r="A34" s="43" t="s">
        <v>50</v>
      </c>
      <c r="B34" s="44" t="s">
        <v>39</v>
      </c>
      <c r="C34" s="21">
        <v>43990</v>
      </c>
      <c r="D34" s="21">
        <v>43994</v>
      </c>
      <c r="E34" s="1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51"/>
      <c r="AB34" s="51"/>
      <c r="AC34" s="51"/>
      <c r="AD34" s="51"/>
      <c r="AE34" s="51"/>
      <c r="AF34" s="18"/>
      <c r="AG34" s="18"/>
      <c r="AH34" s="18"/>
      <c r="AI34" s="18"/>
      <c r="AJ34" s="18"/>
      <c r="AK34" s="18"/>
      <c r="AL34" s="18"/>
      <c r="AM34" s="18"/>
      <c r="AN34" s="18"/>
    </row>
    <row r="35" spans="1:40" ht="17.399999999999999" customHeight="1" x14ac:dyDescent="0.3">
      <c r="A35" s="43" t="s">
        <v>51</v>
      </c>
      <c r="B35" s="44" t="s">
        <v>39</v>
      </c>
      <c r="C35" s="21">
        <v>43994</v>
      </c>
      <c r="D35" s="21">
        <v>43996</v>
      </c>
      <c r="E35" s="1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51"/>
      <c r="AF35" s="51"/>
      <c r="AG35" s="51"/>
      <c r="AH35" s="18"/>
      <c r="AI35" s="18"/>
      <c r="AJ35" s="18"/>
      <c r="AK35" s="18"/>
      <c r="AL35" s="18"/>
      <c r="AM35" s="18"/>
      <c r="AN35" s="18"/>
    </row>
    <row r="36" spans="1:40" ht="17.399999999999999" customHeight="1" x14ac:dyDescent="0.3">
      <c r="A36" s="43" t="s">
        <v>52</v>
      </c>
      <c r="B36" s="44" t="s">
        <v>40</v>
      </c>
      <c r="C36" s="21">
        <v>43996</v>
      </c>
      <c r="D36" s="21">
        <v>43997</v>
      </c>
      <c r="E36" s="1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50"/>
      <c r="AH36" s="50"/>
      <c r="AI36" s="18"/>
      <c r="AJ36" s="18"/>
      <c r="AK36" s="18"/>
      <c r="AL36" s="18"/>
      <c r="AM36" s="18"/>
      <c r="AN36" s="18"/>
    </row>
    <row r="37" spans="1:40" ht="17.399999999999999" customHeight="1" x14ac:dyDescent="0.3">
      <c r="A37" s="43" t="s">
        <v>60</v>
      </c>
      <c r="B37" s="44" t="s">
        <v>40</v>
      </c>
      <c r="C37" s="21">
        <v>43996</v>
      </c>
      <c r="D37" s="21">
        <v>43998</v>
      </c>
      <c r="E37" s="1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AA37" s="18"/>
      <c r="AB37" s="18"/>
      <c r="AC37" s="18"/>
      <c r="AD37" s="18"/>
      <c r="AE37" s="18"/>
      <c r="AF37" s="18"/>
      <c r="AG37" s="18"/>
      <c r="AH37" s="50"/>
      <c r="AI37" s="50"/>
      <c r="AJ37" s="18"/>
      <c r="AK37" s="18"/>
      <c r="AL37" s="18"/>
      <c r="AM37" s="18"/>
      <c r="AN37" s="18"/>
    </row>
    <row r="38" spans="1:40" ht="17.399999999999999" customHeight="1" x14ac:dyDescent="0.3">
      <c r="A38" s="42" t="s">
        <v>55</v>
      </c>
      <c r="B38" s="44"/>
      <c r="C38" s="21"/>
      <c r="D38" s="21"/>
      <c r="E38" s="1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</row>
    <row r="39" spans="1:40" ht="17.399999999999999" customHeight="1" x14ac:dyDescent="0.3">
      <c r="A39" s="43" t="s">
        <v>57</v>
      </c>
      <c r="B39" s="44" t="s">
        <v>40</v>
      </c>
      <c r="C39" s="21">
        <v>43972</v>
      </c>
      <c r="D39" s="21">
        <v>43999</v>
      </c>
      <c r="E39" s="19"/>
      <c r="F39" s="18"/>
      <c r="G39" s="18"/>
      <c r="H39" s="18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18"/>
      <c r="AL39" s="18"/>
      <c r="AM39" s="18"/>
      <c r="AN39" s="18"/>
    </row>
    <row r="40" spans="1:40" ht="17.399999999999999" customHeight="1" x14ac:dyDescent="0.3">
      <c r="A40" s="43" t="s">
        <v>58</v>
      </c>
      <c r="B40" s="44" t="s">
        <v>23</v>
      </c>
      <c r="C40" s="21">
        <v>43999</v>
      </c>
      <c r="D40" s="21">
        <v>43999</v>
      </c>
      <c r="E40" s="1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48"/>
      <c r="AK40" s="18"/>
      <c r="AL40" s="18"/>
      <c r="AM40" s="18"/>
      <c r="AN40" s="18"/>
    </row>
    <row r="41" spans="1:40" ht="17.399999999999999" customHeight="1" x14ac:dyDescent="0.3">
      <c r="A41" s="42" t="s">
        <v>56</v>
      </c>
      <c r="B41" s="44"/>
      <c r="C41" s="21"/>
      <c r="D41" s="21"/>
      <c r="E41" s="1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</row>
    <row r="42" spans="1:40" ht="17.399999999999999" customHeight="1" x14ac:dyDescent="0.3">
      <c r="A42" s="43" t="s">
        <v>59</v>
      </c>
      <c r="B42" s="44" t="s">
        <v>39</v>
      </c>
      <c r="C42" s="21">
        <v>43999</v>
      </c>
      <c r="D42" s="21">
        <v>43999</v>
      </c>
      <c r="E42" s="1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51"/>
      <c r="AK42" s="18"/>
      <c r="AL42" s="18"/>
      <c r="AM42" s="18"/>
      <c r="AN42" s="18"/>
    </row>
  </sheetData>
  <mergeCells count="7">
    <mergeCell ref="AH5:AN5"/>
    <mergeCell ref="C2:D2"/>
    <mergeCell ref="AA5:AG5"/>
    <mergeCell ref="C3:D3"/>
    <mergeCell ref="F5:L5"/>
    <mergeCell ref="M5:S5"/>
    <mergeCell ref="T5:Z5"/>
  </mergeCells>
  <phoneticPr fontId="8" type="noConversion"/>
  <conditionalFormatting sqref="F10:AN33 F34:Y37 AH34:AN35 Z34:Z35 AG34 AJ36:AN37 F38:AN42 AI36">
    <cfRule type="expression" dxfId="5" priority="7">
      <formula>1*AND(F$6&gt;=$C$7,F$6&lt;=$D$7)</formula>
    </cfRule>
  </conditionalFormatting>
  <conditionalFormatting sqref="F8:AN33 F34:Y37 AH34:AN35 Z34:Z35 AG34 AJ36:AN37 F38:AN42 AI36">
    <cfRule type="expression" dxfId="4" priority="2">
      <formula>F$6=TODAY()</formula>
    </cfRule>
  </conditionalFormatting>
  <conditionalFormatting sqref="AA34:AF34 AC35:AG35 Z36:AH36 AA37:AI37">
    <cfRule type="expression" dxfId="3" priority="20">
      <formula>1*AND(Y$6&gt;=$C$7,Y$6&lt;=$D$7)</formula>
    </cfRule>
  </conditionalFormatting>
  <conditionalFormatting sqref="AA34:AF34 AC35:AG35 Z36:AH36 AA37:AI37">
    <cfRule type="expression" dxfId="2" priority="23">
      <formula>Y$6=TODAY()</formula>
    </cfRule>
  </conditionalFormatting>
  <conditionalFormatting sqref="AA35:AB35">
    <cfRule type="expression" dxfId="1" priority="25">
      <formula>1*AND(AB$6&gt;=$C$7,AB$6&lt;=$D$7)</formula>
    </cfRule>
  </conditionalFormatting>
  <conditionalFormatting sqref="AA35:AB35">
    <cfRule type="expression" dxfId="0" priority="27">
      <formula>AB$6=TODAY()</formula>
    </cfRule>
  </conditionalFormatting>
  <pageMargins left="0.23622047244094491" right="0.23622047244094491" top="0.19685039370078741" bottom="0.19685039370078741" header="0.31496062992125984" footer="0.31496062992125984"/>
  <pageSetup paperSize="9" scale="74" fitToHeight="0" orientation="landscape" horizontalDpi="4294967295" verticalDpi="4294967295" r:id="rId1"/>
  <headerFooter>
    <oddFooter>&amp;CPage&amp;Pof&amp;P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WBS</vt:lpstr>
      <vt:lpstr>WBS Diagram</vt:lpstr>
      <vt:lpstr>GANTT Diagram</vt:lpstr>
      <vt:lpstr>display_week</vt:lpstr>
      <vt:lpstr>'GANTT Diagram'!Impression_des_titres</vt:lpstr>
      <vt:lpstr>project_end</vt:lpstr>
      <vt:lpstr>project_start</vt:lpstr>
      <vt:lpstr>'GANTT Diagram'!task_end</vt:lpstr>
      <vt:lpstr>'GANTT Diagram'!task_start</vt:lpstr>
    </vt:vector>
  </TitlesOfParts>
  <Company>Université de Technologie de Compiègne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utcpret</dc:creator>
  <cp:lastModifiedBy>utcpret</cp:lastModifiedBy>
  <dcterms:created xsi:type="dcterms:W3CDTF">2020-04-22T01:31:17Z</dcterms:created>
  <dcterms:modified xsi:type="dcterms:W3CDTF">2020-06-17T20:11:02Z</dcterms:modified>
</cp:coreProperties>
</file>